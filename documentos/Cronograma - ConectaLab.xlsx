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/>
  <xr:revisionPtr revIDLastSave="0" documentId="8_{D2EF3650-5E7D-4905-811A-DF314C9653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nograma Gantt " sheetId="22" r:id="rId1"/>
    <sheet name="Carga horária - AGOSTO" sheetId="20" r:id="rId2"/>
    <sheet name="Carga horária - SETEMBRO" sheetId="21" r:id="rId3"/>
    <sheet name="Carga horária - OUTUBRO" sheetId="23" r:id="rId4"/>
  </sheets>
  <definedNames>
    <definedName name="InícioDaSemana" localSheetId="1">'Carga horária - AGOSTO'!#REF!</definedName>
    <definedName name="InícioDaSemana" localSheetId="3">'Carga horária - OUTUBRO'!#REF!</definedName>
    <definedName name="InícioDaSemana" localSheetId="2">'Carga horária - SETEMBRO'!#REF!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8" i="23" l="1"/>
  <c r="I15" i="23"/>
  <c r="O5" i="21"/>
  <c r="I41" i="21"/>
  <c r="I40" i="21"/>
  <c r="I39" i="21"/>
  <c r="I38" i="21"/>
  <c r="I37" i="21"/>
  <c r="I36" i="21"/>
  <c r="O46" i="23"/>
  <c r="H10" i="23"/>
  <c r="H9" i="23"/>
  <c r="H8" i="23"/>
  <c r="R22" i="23" s="1"/>
  <c r="H7" i="23"/>
  <c r="H6" i="23"/>
  <c r="H5" i="23"/>
  <c r="O22" i="23" s="1"/>
  <c r="I34" i="21"/>
  <c r="I33" i="21"/>
  <c r="I32" i="21"/>
  <c r="I31" i="21"/>
  <c r="I30" i="21"/>
  <c r="H41" i="21"/>
  <c r="H40" i="21"/>
  <c r="H39" i="21"/>
  <c r="H38" i="21"/>
  <c r="H37" i="21"/>
  <c r="H36" i="21"/>
  <c r="H33" i="21"/>
  <c r="O9" i="23" l="1"/>
  <c r="O10" i="23"/>
  <c r="O30" i="23"/>
  <c r="O38" i="23"/>
  <c r="H31" i="21"/>
  <c r="H30" i="21"/>
  <c r="H29" i="21"/>
  <c r="H32" i="21"/>
  <c r="H34" i="21"/>
  <c r="I29" i="21"/>
  <c r="O38" i="21"/>
  <c r="I27" i="21"/>
  <c r="I26" i="21"/>
  <c r="I25" i="21"/>
  <c r="I24" i="21"/>
  <c r="I23" i="21"/>
  <c r="I20" i="21"/>
  <c r="I19" i="21"/>
  <c r="I18" i="21"/>
  <c r="I17" i="21"/>
  <c r="I16" i="21"/>
  <c r="I15" i="21"/>
  <c r="I22" i="21"/>
  <c r="O30" i="21"/>
  <c r="H27" i="21"/>
  <c r="H26" i="21"/>
  <c r="H25" i="21"/>
  <c r="H24" i="21"/>
  <c r="H23" i="21"/>
  <c r="H20" i="21"/>
  <c r="H19" i="21"/>
  <c r="H18" i="21"/>
  <c r="H17" i="21"/>
  <c r="H16" i="21"/>
  <c r="H22" i="21"/>
  <c r="H15" i="21"/>
  <c r="O46" i="21"/>
  <c r="H10" i="21"/>
  <c r="H9" i="21"/>
  <c r="H8" i="21"/>
  <c r="H7" i="21"/>
  <c r="H6" i="21"/>
  <c r="H5" i="21"/>
  <c r="H41" i="20"/>
  <c r="H40" i="20"/>
  <c r="I40" i="20" s="1"/>
  <c r="H37" i="20"/>
  <c r="I37" i="20" s="1"/>
  <c r="O46" i="20"/>
  <c r="H29" i="20"/>
  <c r="O38" i="20"/>
  <c r="P30" i="20"/>
  <c r="O30" i="20"/>
  <c r="Q30" i="20"/>
  <c r="T30" i="20"/>
  <c r="I41" i="20"/>
  <c r="H10" i="20"/>
  <c r="H34" i="20" s="1"/>
  <c r="I34" i="20" s="1"/>
  <c r="H9" i="20"/>
  <c r="H19" i="20" s="1"/>
  <c r="I19" i="20" s="1"/>
  <c r="H8" i="20"/>
  <c r="H18" i="20" s="1"/>
  <c r="I18" i="20" s="1"/>
  <c r="H7" i="20"/>
  <c r="H17" i="20" s="1"/>
  <c r="I17" i="20" s="1"/>
  <c r="H6" i="20"/>
  <c r="H16" i="20" s="1"/>
  <c r="R30" i="20" s="1"/>
  <c r="H5" i="20"/>
  <c r="H36" i="20" s="1"/>
  <c r="I36" i="20" s="1"/>
  <c r="O5" i="23" l="1"/>
  <c r="O7" i="23"/>
  <c r="O8" i="23"/>
  <c r="O6" i="23"/>
  <c r="O7" i="21"/>
  <c r="O10" i="21"/>
  <c r="I16" i="20"/>
  <c r="O6" i="20" s="1"/>
  <c r="H22" i="20"/>
  <c r="I22" i="20" s="1"/>
  <c r="S38" i="20"/>
  <c r="I29" i="20"/>
  <c r="T38" i="20"/>
  <c r="H23" i="20"/>
  <c r="I23" i="20" s="1"/>
  <c r="H30" i="20"/>
  <c r="I30" i="20" s="1"/>
  <c r="S30" i="20"/>
  <c r="H25" i="20"/>
  <c r="I25" i="20" s="1"/>
  <c r="O8" i="20" s="1"/>
  <c r="H32" i="20"/>
  <c r="I32" i="20" s="1"/>
  <c r="H24" i="20"/>
  <c r="I24" i="20" s="1"/>
  <c r="O7" i="20" s="1"/>
  <c r="H26" i="20"/>
  <c r="I26" i="20" s="1"/>
  <c r="O9" i="20" s="1"/>
  <c r="H33" i="20"/>
  <c r="I33" i="20" s="1"/>
  <c r="H38" i="20"/>
  <c r="I38" i="20" s="1"/>
  <c r="H31" i="20"/>
  <c r="I31" i="20" s="1"/>
  <c r="H27" i="20"/>
  <c r="I27" i="20" s="1"/>
  <c r="H39" i="20"/>
  <c r="I39" i="20" s="1"/>
  <c r="H15" i="20"/>
  <c r="O22" i="20"/>
  <c r="Q22" i="20"/>
  <c r="T22" i="20"/>
  <c r="H20" i="20"/>
  <c r="I20" i="20" s="1"/>
  <c r="P22" i="20"/>
  <c r="R22" i="20"/>
  <c r="S22" i="20"/>
  <c r="O9" i="21" l="1"/>
  <c r="O6" i="21"/>
  <c r="O8" i="21"/>
  <c r="O10" i="20"/>
  <c r="I15" i="20"/>
  <c r="O5" i="20" s="1"/>
</calcChain>
</file>

<file path=xl/sharedStrings.xml><?xml version="1.0" encoding="utf-8"?>
<sst xmlns="http://schemas.openxmlformats.org/spreadsheetml/2006/main" count="606" uniqueCount="107">
  <si>
    <t>RESPONSÁVEL</t>
  </si>
  <si>
    <t>CARGO</t>
  </si>
  <si>
    <t>HORAS TRABALHADAS</t>
  </si>
  <si>
    <t>Rebeca</t>
  </si>
  <si>
    <t>Plano de projetos</t>
  </si>
  <si>
    <t>Davi</t>
  </si>
  <si>
    <t>Ana</t>
  </si>
  <si>
    <t>Proposta e croqui</t>
  </si>
  <si>
    <t>Emily</t>
  </si>
  <si>
    <t>Planilha de custos</t>
  </si>
  <si>
    <t>Plano de negócios</t>
  </si>
  <si>
    <t>Giovanni</t>
  </si>
  <si>
    <t>Isabelly</t>
  </si>
  <si>
    <t>Escolha do tema</t>
  </si>
  <si>
    <t>TODOS</t>
  </si>
  <si>
    <t>Pesquisa dos produtos químicos controlados</t>
  </si>
  <si>
    <t>Documentação FISPQ</t>
  </si>
  <si>
    <t>Levantamento de requisitos</t>
  </si>
  <si>
    <t>Financeiro</t>
  </si>
  <si>
    <t>Emily e Isabelly</t>
  </si>
  <si>
    <t>Definição de cargos</t>
  </si>
  <si>
    <t>4h</t>
  </si>
  <si>
    <t>Designer</t>
  </si>
  <si>
    <t>Analista de Requisitos</t>
  </si>
  <si>
    <t>JORNADA MENSAL</t>
  </si>
  <si>
    <t>SALÁRIO MENSAL</t>
  </si>
  <si>
    <t>FUNCIONÁRIO</t>
  </si>
  <si>
    <t>VALOR POR HORA</t>
  </si>
  <si>
    <t>Ana Luísa</t>
  </si>
  <si>
    <t>Desenvolvedora Back-End</t>
  </si>
  <si>
    <t xml:space="preserve">Gerente de Projetos </t>
  </si>
  <si>
    <t>JORNADA DIÁRIA</t>
  </si>
  <si>
    <t xml:space="preserve">Davi </t>
  </si>
  <si>
    <t>Desenvolvedor Front-End</t>
  </si>
  <si>
    <t>Analista de Documentação</t>
  </si>
  <si>
    <t>DIA</t>
  </si>
  <si>
    <t>DATA</t>
  </si>
  <si>
    <t>Quinta</t>
  </si>
  <si>
    <t>VALOR DIÁRIO</t>
  </si>
  <si>
    <t>VALOR DIÁRIO EXTRA</t>
  </si>
  <si>
    <t>REBECA</t>
  </si>
  <si>
    <t>ANA LUÍSA</t>
  </si>
  <si>
    <t>DAVI</t>
  </si>
  <si>
    <t>GIOVANNI</t>
  </si>
  <si>
    <t>EMILY</t>
  </si>
  <si>
    <t>ISABELLY</t>
  </si>
  <si>
    <t>Segunda</t>
  </si>
  <si>
    <t>Terça</t>
  </si>
  <si>
    <t xml:space="preserve">Quarta </t>
  </si>
  <si>
    <t>Sexta</t>
  </si>
  <si>
    <t>Sábado</t>
  </si>
  <si>
    <t>Domingo</t>
  </si>
  <si>
    <t>HORAS EXTRAS</t>
  </si>
  <si>
    <t xml:space="preserve">Quinta </t>
  </si>
  <si>
    <t>DIA DE TRABALHO</t>
  </si>
  <si>
    <t>SALÁRIO SEMANAL</t>
  </si>
  <si>
    <t>🧪  CONECTA LAB</t>
  </si>
  <si>
    <t>PROJECT TIMELINE 2026</t>
  </si>
  <si>
    <t>AGOSTO</t>
  </si>
  <si>
    <t>SETEMBRO</t>
  </si>
  <si>
    <t>FASE</t>
  </si>
  <si>
    <t>ATIVIDADE</t>
  </si>
  <si>
    <t>STATUS</t>
  </si>
  <si>
    <t>INICIAÇÃO</t>
  </si>
  <si>
    <t>✓ Concluído</t>
  </si>
  <si>
    <t>Protótipo inicial Figma</t>
  </si>
  <si>
    <t>MONITORAMENTO</t>
  </si>
  <si>
    <t>Cronograma / Carga horária</t>
  </si>
  <si>
    <t>PLANEJAMENTO</t>
  </si>
  <si>
    <t>EXECUÇÃO</t>
  </si>
  <si>
    <t>Cronograma de Gantt</t>
  </si>
  <si>
    <t>Documentação técnica</t>
  </si>
  <si>
    <t>DOCUMENTAÇÃO</t>
  </si>
  <si>
    <t>Não iniciado</t>
  </si>
  <si>
    <t>Simulação / Modelagem</t>
  </si>
  <si>
    <t>EXECUÇÃ0</t>
  </si>
  <si>
    <t>Introdução do artigo</t>
  </si>
  <si>
    <t>Pré-banca</t>
  </si>
  <si>
    <t>APRESENTAÇÃO</t>
  </si>
  <si>
    <t>🧪  CONECTA LAB  | CARGA HORÁRIA AGOSTO</t>
  </si>
  <si>
    <t>Em andamento</t>
  </si>
  <si>
    <t>1° PERÍODO</t>
  </si>
  <si>
    <t>2° PERÍODO</t>
  </si>
  <si>
    <t>CRONOGRAMA DE GANTT 
Planejamento do Projeto - 1° e 2° período</t>
  </si>
  <si>
    <t>SALÁRIO MENSAL GERAL - AGOSTO</t>
  </si>
  <si>
    <t>🧪  CONECTA LAB  | CARGA HORÁRIA SETEMBRO</t>
  </si>
  <si>
    <t>SALÁRIO MENSAL GERAL - SETEMBRO</t>
  </si>
  <si>
    <t>OUTUBRO</t>
  </si>
  <si>
    <t>NOVEMBRO</t>
  </si>
  <si>
    <t>Slide da apresentação</t>
  </si>
  <si>
    <t>Protótipo VsCode</t>
  </si>
  <si>
    <t>Ana e Giovanni</t>
  </si>
  <si>
    <t>ENVIADA INCOMPLETA / AINDA EM ANDAMENTO</t>
  </si>
  <si>
    <t>CONCLUIDO</t>
  </si>
  <si>
    <t>EM ANDAMENTO</t>
  </si>
  <si>
    <t>NÃO INICIADO</t>
  </si>
  <si>
    <t>Emily e Giovanni</t>
  </si>
  <si>
    <t>Enviada incompleta</t>
  </si>
  <si>
    <t>EM ATRASO</t>
  </si>
  <si>
    <t>Artigo técnico científico</t>
  </si>
  <si>
    <t>Manual técnico</t>
  </si>
  <si>
    <t>Vídeo pitch</t>
  </si>
  <si>
    <t>.</t>
  </si>
  <si>
    <t>Apresentação e documentação</t>
  </si>
  <si>
    <t>FINALIZAÇÃO</t>
  </si>
  <si>
    <t>🧪  CONECTA LAB  | CARGA HORÁRIA OUTUBRO</t>
  </si>
  <si>
    <t>Rebeca / Isabelly /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</si>
</sst>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dd/mm"/>
  </numFmts>
  <fonts count="46" x14ac:knownFonts="1">
    <font>
      <sz val="11"/>
      <color theme="1"/>
      <name val="Trebuchet MS"/>
      <family val="2"/>
      <scheme val="minor"/>
    </font>
    <font>
      <sz val="11"/>
      <color theme="1" tint="0.14999847407452621"/>
      <name val="Trebuchet MS"/>
      <family val="2"/>
      <scheme val="minor"/>
    </font>
    <font>
      <sz val="11"/>
      <color theme="1"/>
      <name val="Trebuchet MS"/>
      <family val="2"/>
      <scheme val="major"/>
    </font>
    <font>
      <sz val="11"/>
      <color theme="0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8"/>
      <color theme="1"/>
      <name val="Trebuchet MS"/>
      <family val="2"/>
      <scheme val="minor"/>
    </font>
    <font>
      <sz val="18"/>
      <color theme="1" tint="0.14999847407452621"/>
      <name val="Trebuchet MS"/>
      <family val="2"/>
      <scheme val="minor"/>
    </font>
    <font>
      <sz val="18"/>
      <color theme="1"/>
      <name val="Trebuchet MS"/>
      <family val="2"/>
      <scheme val="major"/>
    </font>
    <font>
      <b/>
      <sz val="22"/>
      <color rgb="FFFFFFFF"/>
      <name val="Calibri"/>
      <family val="2"/>
    </font>
    <font>
      <b/>
      <sz val="18"/>
      <color rgb="FFFFFFFF"/>
      <name val="Calibri"/>
      <family val="2"/>
    </font>
    <font>
      <b/>
      <sz val="22"/>
      <color rgb="FFC99CFF"/>
      <name val="Calibri"/>
      <family val="2"/>
    </font>
    <font>
      <sz val="11"/>
      <color rgb="FFFFFFFF"/>
      <name val="Calibri"/>
      <family val="2"/>
    </font>
    <font>
      <b/>
      <sz val="11"/>
      <color rgb="FFC99CFF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Arial"/>
      <family val="2"/>
    </font>
    <font>
      <sz val="18"/>
      <color theme="1"/>
      <name val="Arial"/>
      <family val="2"/>
    </font>
    <font>
      <sz val="18"/>
      <color theme="1" tint="0.14999847407452621"/>
      <name val="Arial"/>
      <family val="2"/>
    </font>
    <font>
      <sz val="11"/>
      <color theme="1" tint="0.14999847407452621"/>
      <name val="Arial"/>
      <family val="2"/>
    </font>
    <font>
      <sz val="18"/>
      <color theme="0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1"/>
      <color theme="9"/>
      <name val="Calibri"/>
      <family val="2"/>
    </font>
    <font>
      <b/>
      <sz val="28"/>
      <color rgb="FFFFFFFF"/>
      <name val="Arial"/>
      <family val="2"/>
    </font>
    <font>
      <sz val="12"/>
      <color rgb="FFFFFFFF"/>
      <name val="Calibri"/>
      <family val="2"/>
    </font>
    <font>
      <sz val="12"/>
      <color rgb="FF08072F"/>
      <name val="Calibri"/>
      <family val="2"/>
    </font>
    <font>
      <b/>
      <sz val="24"/>
      <color theme="0"/>
      <name val="Arial"/>
      <family val="2"/>
    </font>
    <font>
      <b/>
      <sz val="24"/>
      <name val="Trebuchet MS"/>
      <family val="2"/>
      <scheme val="minor"/>
    </font>
    <font>
      <sz val="20"/>
      <color theme="1"/>
      <name val="Arial"/>
      <family val="2"/>
    </font>
    <font>
      <sz val="20"/>
      <color theme="1" tint="0.14999847407452621"/>
      <name val="Arial"/>
      <family val="2"/>
    </font>
    <font>
      <sz val="11"/>
      <color rgb="FFC00000"/>
      <name val="Trebuchet MS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rgb="FF08072F"/>
      </patternFill>
    </fill>
    <fill>
      <patternFill patternType="solid">
        <fgColor rgb="FF08072F"/>
        <bgColor indexed="64"/>
      </patternFill>
    </fill>
    <fill>
      <patternFill patternType="solid">
        <fgColor rgb="FF11113D"/>
      </patternFill>
    </fill>
    <fill>
      <patternFill patternType="solid">
        <fgColor rgb="FF57C84D"/>
      </patternFill>
    </fill>
    <fill>
      <patternFill patternType="solid">
        <fgColor rgb="FFF7B83B"/>
      </patternFill>
    </fill>
    <fill>
      <patternFill patternType="solid">
        <fgColor rgb="FF00B0F0"/>
        <bgColor indexed="64"/>
      </patternFill>
    </fill>
    <fill>
      <patternFill patternType="solid">
        <fgColor rgb="FF35B6E8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99CFF"/>
        <bgColor indexed="64"/>
      </patternFill>
    </fill>
    <fill>
      <patternFill patternType="solid">
        <fgColor rgb="FF1111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B83B"/>
        <bgColor indexed="64"/>
      </patternFill>
    </fill>
    <fill>
      <patternFill patternType="solid">
        <fgColor rgb="FF57C84D"/>
        <bgColor indexed="64"/>
      </patternFill>
    </fill>
    <fill>
      <patternFill patternType="solid">
        <fgColor rgb="FF78387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36E8E8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B65E8"/>
      </top>
      <bottom style="thin">
        <color rgb="FF8B65E8"/>
      </bottom>
      <diagonal/>
    </border>
    <border>
      <left style="thin">
        <color rgb="FF454565"/>
      </left>
      <right style="thin">
        <color rgb="FF454565"/>
      </right>
      <top style="thin">
        <color rgb="FF454565"/>
      </top>
      <bottom style="thin">
        <color rgb="FF454565"/>
      </bottom>
      <diagonal/>
    </border>
    <border>
      <left style="hair">
        <color rgb="FF454565"/>
      </left>
      <right style="hair">
        <color rgb="FF454565"/>
      </right>
      <top style="hair">
        <color rgb="FF454565"/>
      </top>
      <bottom style="hair">
        <color rgb="FF454565"/>
      </bottom>
      <diagonal/>
    </border>
    <border>
      <left style="thin">
        <color rgb="FF454565"/>
      </left>
      <right/>
      <top style="thin">
        <color rgb="FF454565"/>
      </top>
      <bottom style="thin">
        <color rgb="FF454565"/>
      </bottom>
      <diagonal/>
    </border>
    <border>
      <left/>
      <right style="thin">
        <color rgb="FF454565"/>
      </right>
      <top style="thin">
        <color rgb="FF454565"/>
      </top>
      <bottom style="thin">
        <color rgb="FF454565"/>
      </bottom>
      <diagonal/>
    </border>
    <border>
      <left/>
      <right/>
      <top/>
      <bottom style="medium">
        <color rgb="FFC99CF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454565"/>
      </top>
      <bottom style="thin">
        <color rgb="FF45456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8B65E8"/>
      </right>
      <top style="thin">
        <color rgb="FF8B65E8"/>
      </top>
      <bottom/>
      <diagonal/>
    </border>
    <border>
      <left style="thin">
        <color rgb="FF8B65E8"/>
      </left>
      <right style="thin">
        <color rgb="FF8B65E8"/>
      </right>
      <top style="thin">
        <color rgb="FF8B65E8"/>
      </top>
      <bottom/>
      <diagonal/>
    </border>
    <border>
      <left/>
      <right style="thin">
        <color rgb="FF8B65E8"/>
      </right>
      <top/>
      <bottom style="thin">
        <color rgb="FF454565"/>
      </bottom>
      <diagonal/>
    </border>
    <border>
      <left style="thin">
        <color rgb="FF8B65E8"/>
      </left>
      <right style="thin">
        <color rgb="FF8B65E8"/>
      </right>
      <top/>
      <bottom style="thin">
        <color rgb="FF454565"/>
      </bottom>
      <diagonal/>
    </border>
  </borders>
  <cellStyleXfs count="47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7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</cellStyleXfs>
  <cellXfs count="13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36" borderId="0" xfId="0" applyFill="1"/>
    <xf numFmtId="0" fontId="26" fillId="35" borderId="0" xfId="0" applyFont="1" applyFill="1"/>
    <xf numFmtId="0" fontId="26" fillId="35" borderId="13" xfId="0" applyFont="1" applyFill="1" applyBorder="1" applyAlignment="1">
      <alignment horizontal="center" vertical="center"/>
    </xf>
    <xf numFmtId="0" fontId="26" fillId="40" borderId="13" xfId="0" applyFont="1" applyFill="1" applyBorder="1" applyAlignment="1">
      <alignment horizontal="center" vertical="center"/>
    </xf>
    <xf numFmtId="0" fontId="26" fillId="38" borderId="13" xfId="0" applyFont="1" applyFill="1" applyBorder="1" applyAlignment="1">
      <alignment horizontal="center" vertical="center"/>
    </xf>
    <xf numFmtId="0" fontId="26" fillId="41" borderId="13" xfId="0" applyFont="1" applyFill="1" applyBorder="1" applyAlignment="1">
      <alignment horizontal="center" vertical="center"/>
    </xf>
    <xf numFmtId="0" fontId="26" fillId="42" borderId="13" xfId="0" applyFont="1" applyFill="1" applyBorder="1" applyAlignment="1">
      <alignment horizontal="center" vertical="center"/>
    </xf>
    <xf numFmtId="0" fontId="26" fillId="43" borderId="13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6" borderId="13" xfId="0" applyFont="1" applyFill="1" applyBorder="1" applyAlignment="1">
      <alignment horizontal="center" vertical="center"/>
    </xf>
    <xf numFmtId="0" fontId="0" fillId="36" borderId="16" xfId="0" applyFill="1" applyBorder="1"/>
    <xf numFmtId="0" fontId="29" fillId="36" borderId="16" xfId="0" applyFont="1" applyFill="1" applyBorder="1" applyAlignment="1">
      <alignment horizontal="left" vertical="center"/>
    </xf>
    <xf numFmtId="0" fontId="21" fillId="48" borderId="0" xfId="0" applyFont="1" applyFill="1" applyAlignment="1">
      <alignment horizontal="left" vertical="center" wrapText="1"/>
    </xf>
    <xf numFmtId="0" fontId="1" fillId="48" borderId="0" xfId="0" applyFont="1" applyFill="1" applyAlignment="1">
      <alignment horizontal="center" vertical="center" wrapText="1"/>
    </xf>
    <xf numFmtId="0" fontId="21" fillId="48" borderId="0" xfId="0" applyFont="1" applyFill="1" applyAlignment="1">
      <alignment vertical="center" wrapText="1"/>
    </xf>
    <xf numFmtId="14" fontId="21" fillId="48" borderId="0" xfId="0" applyNumberFormat="1" applyFont="1" applyFill="1" applyAlignment="1">
      <alignment horizontal="center" vertical="center" wrapText="1"/>
    </xf>
    <xf numFmtId="8" fontId="22" fillId="48" borderId="0" xfId="0" applyNumberFormat="1" applyFont="1" applyFill="1" applyAlignment="1">
      <alignment horizontal="center" vertical="center"/>
    </xf>
    <xf numFmtId="0" fontId="21" fillId="48" borderId="0" xfId="0" applyFont="1" applyFill="1" applyAlignment="1">
      <alignment horizontal="center" vertical="center" wrapText="1"/>
    </xf>
    <xf numFmtId="14" fontId="22" fillId="48" borderId="0" xfId="0" applyNumberFormat="1" applyFont="1" applyFill="1" applyAlignment="1">
      <alignment horizontal="center" vertical="center"/>
    </xf>
    <xf numFmtId="0" fontId="20" fillId="48" borderId="0" xfId="0" applyFont="1" applyFill="1" applyAlignment="1">
      <alignment horizontal="center"/>
    </xf>
    <xf numFmtId="44" fontId="20" fillId="48" borderId="0" xfId="3" applyFont="1" applyFill="1" applyBorder="1" applyAlignment="1">
      <alignment horizontal="center"/>
    </xf>
    <xf numFmtId="0" fontId="0" fillId="48" borderId="0" xfId="0" applyFill="1" applyAlignment="1">
      <alignment vertical="center"/>
    </xf>
    <xf numFmtId="0" fontId="2" fillId="48" borderId="0" xfId="0" applyFont="1" applyFill="1"/>
    <xf numFmtId="0" fontId="30" fillId="0" borderId="10" xfId="0" applyFont="1" applyBorder="1" applyAlignment="1">
      <alignment vertical="center"/>
    </xf>
    <xf numFmtId="0" fontId="30" fillId="0" borderId="10" xfId="0" applyFont="1" applyBorder="1" applyAlignment="1">
      <alignment horizontal="left" vertical="center"/>
    </xf>
    <xf numFmtId="8" fontId="30" fillId="0" borderId="10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4" fontId="30" fillId="0" borderId="10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/>
    </xf>
    <xf numFmtId="44" fontId="30" fillId="0" borderId="10" xfId="3" applyFont="1" applyBorder="1" applyAlignment="1">
      <alignment horizontal="center"/>
    </xf>
    <xf numFmtId="0" fontId="31" fillId="0" borderId="10" xfId="0" applyFont="1" applyBorder="1" applyAlignment="1">
      <alignment vertical="center" wrapText="1"/>
    </xf>
    <xf numFmtId="8" fontId="31" fillId="0" borderId="10" xfId="0" applyNumberFormat="1" applyFont="1" applyBorder="1" applyAlignment="1">
      <alignment horizontal="left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center" vertical="center" wrapText="1"/>
    </xf>
    <xf numFmtId="44" fontId="31" fillId="0" borderId="10" xfId="0" applyNumberFormat="1" applyFont="1" applyBorder="1" applyAlignment="1">
      <alignment horizontal="center" vertical="center" wrapText="1"/>
    </xf>
    <xf numFmtId="44" fontId="30" fillId="0" borderId="10" xfId="3" applyFont="1" applyBorder="1" applyAlignment="1">
      <alignment horizontal="center" vertical="center"/>
    </xf>
    <xf numFmtId="0" fontId="33" fillId="47" borderId="10" xfId="0" applyFont="1" applyFill="1" applyBorder="1" applyAlignment="1">
      <alignment horizontal="center" vertical="center" wrapText="1"/>
    </xf>
    <xf numFmtId="0" fontId="33" fillId="48" borderId="0" xfId="0" applyFont="1" applyFill="1" applyAlignment="1">
      <alignment horizontal="center" vertical="center" wrapText="1"/>
    </xf>
    <xf numFmtId="0" fontId="32" fillId="48" borderId="0" xfId="0" applyFont="1" applyFill="1" applyAlignment="1">
      <alignment horizontal="center" vertical="center" wrapText="1"/>
    </xf>
    <xf numFmtId="44" fontId="30" fillId="48" borderId="0" xfId="3" applyFont="1" applyFill="1" applyBorder="1" applyAlignment="1">
      <alignment horizontal="center"/>
    </xf>
    <xf numFmtId="0" fontId="34" fillId="48" borderId="0" xfId="0" applyFont="1" applyFill="1"/>
    <xf numFmtId="0" fontId="31" fillId="48" borderId="0" xfId="0" applyFont="1" applyFill="1" applyAlignment="1">
      <alignment horizontal="left" vertical="center" wrapText="1"/>
    </xf>
    <xf numFmtId="0" fontId="30" fillId="48" borderId="0" xfId="0" applyFont="1" applyFill="1" applyAlignment="1">
      <alignment horizontal="left"/>
    </xf>
    <xf numFmtId="14" fontId="31" fillId="0" borderId="10" xfId="0" applyNumberFormat="1" applyFont="1" applyBorder="1" applyAlignment="1">
      <alignment horizontal="center" vertical="center" wrapText="1"/>
    </xf>
    <xf numFmtId="0" fontId="31" fillId="47" borderId="10" xfId="0" applyFont="1" applyFill="1" applyBorder="1" applyAlignment="1">
      <alignment horizontal="center" vertical="center" wrapText="1"/>
    </xf>
    <xf numFmtId="0" fontId="36" fillId="47" borderId="10" xfId="0" applyFont="1" applyFill="1" applyBorder="1" applyAlignment="1">
      <alignment horizontal="left" vertical="center"/>
    </xf>
    <xf numFmtId="44" fontId="33" fillId="47" borderId="10" xfId="0" applyNumberFormat="1" applyFont="1" applyFill="1" applyBorder="1" applyAlignment="1">
      <alignment horizontal="center" vertical="center" wrapText="1"/>
    </xf>
    <xf numFmtId="0" fontId="36" fillId="47" borderId="10" xfId="0" applyFont="1" applyFill="1" applyBorder="1" applyAlignment="1">
      <alignment horizontal="center" vertical="center"/>
    </xf>
    <xf numFmtId="44" fontId="33" fillId="47" borderId="10" xfId="3" applyFont="1" applyFill="1" applyBorder="1" applyAlignment="1">
      <alignment horizontal="center" vertical="center" wrapText="1"/>
    </xf>
    <xf numFmtId="0" fontId="30" fillId="49" borderId="10" xfId="3" applyNumberFormat="1" applyFont="1" applyFill="1" applyBorder="1" applyAlignment="1">
      <alignment horizontal="center" vertical="center"/>
    </xf>
    <xf numFmtId="0" fontId="31" fillId="49" borderId="10" xfId="0" applyFont="1" applyFill="1" applyBorder="1" applyAlignment="1">
      <alignment horizontal="center" vertical="center" wrapText="1"/>
    </xf>
    <xf numFmtId="0" fontId="30" fillId="49" borderId="10" xfId="0" applyFont="1" applyFill="1" applyBorder="1" applyAlignment="1">
      <alignment horizontal="center" vertical="center"/>
    </xf>
    <xf numFmtId="0" fontId="30" fillId="49" borderId="10" xfId="0" applyFont="1" applyFill="1" applyBorder="1" applyAlignment="1">
      <alignment horizontal="center"/>
    </xf>
    <xf numFmtId="0" fontId="30" fillId="49" borderId="10" xfId="3" applyNumberFormat="1" applyFont="1" applyFill="1" applyBorder="1" applyAlignment="1">
      <alignment horizontal="center"/>
    </xf>
    <xf numFmtId="0" fontId="32" fillId="47" borderId="10" xfId="0" applyFont="1" applyFill="1" applyBorder="1" applyAlignment="1">
      <alignment horizontal="center" vertical="center" wrapText="1"/>
    </xf>
    <xf numFmtId="8" fontId="30" fillId="47" borderId="10" xfId="0" applyNumberFormat="1" applyFont="1" applyFill="1" applyBorder="1" applyAlignment="1">
      <alignment horizontal="center" vertical="center"/>
    </xf>
    <xf numFmtId="0" fontId="33" fillId="47" borderId="10" xfId="0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2" fillId="47" borderId="18" xfId="0" applyFont="1" applyFill="1" applyBorder="1" applyAlignment="1">
      <alignment horizontal="center" vertical="center" wrapText="1"/>
    </xf>
    <xf numFmtId="8" fontId="30" fillId="47" borderId="18" xfId="0" applyNumberFormat="1" applyFont="1" applyFill="1" applyBorder="1" applyAlignment="1">
      <alignment horizontal="center" vertical="center"/>
    </xf>
    <xf numFmtId="0" fontId="31" fillId="47" borderId="18" xfId="0" applyFont="1" applyFill="1" applyBorder="1" applyAlignment="1">
      <alignment horizontal="center" vertical="center" wrapText="1"/>
    </xf>
    <xf numFmtId="0" fontId="0" fillId="42" borderId="0" xfId="0" applyFill="1"/>
    <xf numFmtId="0" fontId="26" fillId="50" borderId="13" xfId="0" applyFont="1" applyFill="1" applyBorder="1" applyAlignment="1">
      <alignment horizontal="center" vertical="center"/>
    </xf>
    <xf numFmtId="0" fontId="39" fillId="35" borderId="12" xfId="0" applyFont="1" applyFill="1" applyBorder="1" applyAlignment="1">
      <alignment horizontal="left" vertical="center" wrapText="1"/>
    </xf>
    <xf numFmtId="0" fontId="39" fillId="35" borderId="12" xfId="0" applyFont="1" applyFill="1" applyBorder="1" applyAlignment="1">
      <alignment horizontal="center" vertical="center" wrapText="1"/>
    </xf>
    <xf numFmtId="0" fontId="39" fillId="38" borderId="0" xfId="0" applyFont="1" applyFill="1" applyAlignment="1">
      <alignment horizontal="center" vertical="center" wrapText="1"/>
    </xf>
    <xf numFmtId="0" fontId="40" fillId="39" borderId="0" xfId="0" applyFont="1" applyFill="1" applyAlignment="1">
      <alignment horizontal="center" vertical="center" wrapText="1"/>
    </xf>
    <xf numFmtId="0" fontId="40" fillId="42" borderId="0" xfId="0" applyFont="1" applyFill="1" applyAlignment="1">
      <alignment horizontal="center" vertical="center" wrapText="1"/>
    </xf>
    <xf numFmtId="0" fontId="28" fillId="37" borderId="12" xfId="0" applyFont="1" applyFill="1" applyBorder="1" applyAlignment="1">
      <alignment horizontal="center" vertical="center" wrapText="1"/>
    </xf>
    <xf numFmtId="0" fontId="26" fillId="43" borderId="12" xfId="0" applyFont="1" applyFill="1" applyBorder="1" applyAlignment="1">
      <alignment horizontal="center" vertical="center" wrapText="1"/>
    </xf>
    <xf numFmtId="0" fontId="26" fillId="40" borderId="12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8" borderId="12" xfId="0" applyFont="1" applyFill="1" applyBorder="1" applyAlignment="1">
      <alignment horizontal="center" vertical="center" wrapText="1"/>
    </xf>
    <xf numFmtId="0" fontId="26" fillId="41" borderId="12" xfId="0" applyFont="1" applyFill="1" applyBorder="1" applyAlignment="1">
      <alignment horizontal="center" vertical="center" wrapText="1"/>
    </xf>
    <xf numFmtId="0" fontId="26" fillId="44" borderId="12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26" fillId="46" borderId="12" xfId="0" applyFont="1" applyFill="1" applyBorder="1" applyAlignment="1">
      <alignment horizontal="center" vertical="center" wrapText="1"/>
    </xf>
    <xf numFmtId="166" fontId="28" fillId="37" borderId="12" xfId="0" applyNumberFormat="1" applyFont="1" applyFill="1" applyBorder="1" applyAlignment="1">
      <alignment horizontal="center" vertical="center"/>
    </xf>
    <xf numFmtId="44" fontId="33" fillId="53" borderId="10" xfId="0" applyNumberFormat="1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vertical="center"/>
    </xf>
    <xf numFmtId="0" fontId="43" fillId="0" borderId="10" xfId="0" applyFont="1" applyBorder="1" applyAlignment="1">
      <alignment horizontal="left" vertical="center"/>
    </xf>
    <xf numFmtId="44" fontId="43" fillId="0" borderId="10" xfId="0" applyNumberFormat="1" applyFont="1" applyBorder="1" applyAlignment="1">
      <alignment horizontal="center" vertical="center"/>
    </xf>
    <xf numFmtId="0" fontId="44" fillId="0" borderId="10" xfId="0" applyFont="1" applyBorder="1" applyAlignment="1">
      <alignment vertical="center" wrapText="1"/>
    </xf>
    <xf numFmtId="8" fontId="44" fillId="0" borderId="10" xfId="0" applyNumberFormat="1" applyFont="1" applyBorder="1" applyAlignment="1">
      <alignment horizontal="left" vertical="center" wrapText="1"/>
    </xf>
    <xf numFmtId="44" fontId="43" fillId="0" borderId="10" xfId="3" applyFont="1" applyBorder="1" applyAlignment="1">
      <alignment horizontal="center" vertical="center"/>
    </xf>
    <xf numFmtId="0" fontId="44" fillId="0" borderId="10" xfId="0" applyFont="1" applyBorder="1" applyAlignment="1">
      <alignment horizontal="left" vertical="center" wrapText="1"/>
    </xf>
    <xf numFmtId="0" fontId="32" fillId="47" borderId="10" xfId="0" applyFont="1" applyFill="1" applyBorder="1" applyAlignment="1">
      <alignment horizontal="center" vertical="center"/>
    </xf>
    <xf numFmtId="0" fontId="26" fillId="36" borderId="12" xfId="0" applyFont="1" applyFill="1" applyBorder="1" applyAlignment="1">
      <alignment horizontal="center" vertical="center" wrapText="1"/>
    </xf>
    <xf numFmtId="0" fontId="26" fillId="54" borderId="13" xfId="0" applyFont="1" applyFill="1" applyBorder="1" applyAlignment="1">
      <alignment horizontal="center" vertical="center"/>
    </xf>
    <xf numFmtId="0" fontId="26" fillId="52" borderId="13" xfId="0" applyFont="1" applyFill="1" applyBorder="1" applyAlignment="1">
      <alignment horizontal="center" vertical="center"/>
    </xf>
    <xf numFmtId="0" fontId="0" fillId="52" borderId="0" xfId="0" applyFill="1"/>
    <xf numFmtId="0" fontId="0" fillId="51" borderId="0" xfId="0" applyFill="1"/>
    <xf numFmtId="0" fontId="3" fillId="36" borderId="0" xfId="0" applyFont="1" applyFill="1"/>
    <xf numFmtId="0" fontId="40" fillId="50" borderId="0" xfId="0" applyFont="1" applyFill="1" applyAlignment="1">
      <alignment horizontal="center" vertical="center" wrapText="1"/>
    </xf>
    <xf numFmtId="0" fontId="45" fillId="36" borderId="0" xfId="0" applyFont="1" applyFill="1"/>
    <xf numFmtId="0" fontId="45" fillId="45" borderId="0" xfId="0" applyFont="1" applyFill="1"/>
    <xf numFmtId="44" fontId="31" fillId="0" borderId="0" xfId="0" applyNumberFormat="1" applyFont="1" applyAlignment="1">
      <alignment horizontal="center" vertical="center" wrapText="1"/>
    </xf>
    <xf numFmtId="0" fontId="39" fillId="36" borderId="0" xfId="0" applyFont="1" applyFill="1" applyAlignment="1">
      <alignment horizontal="center" vertical="center" wrapText="1"/>
    </xf>
    <xf numFmtId="0" fontId="40" fillId="36" borderId="0" xfId="0" applyFont="1" applyFill="1" applyAlignment="1">
      <alignment horizontal="center" vertical="center" wrapText="1"/>
    </xf>
    <xf numFmtId="0" fontId="39" fillId="35" borderId="12" xfId="0" applyFont="1" applyFill="1" applyBorder="1" applyAlignment="1">
      <alignment horizontal="left" vertical="center"/>
    </xf>
    <xf numFmtId="0" fontId="39" fillId="35" borderId="0" xfId="0" applyFont="1" applyFill="1" applyAlignment="1">
      <alignment horizontal="center" vertical="center" wrapText="1"/>
    </xf>
    <xf numFmtId="0" fontId="3" fillId="55" borderId="0" xfId="0" applyFont="1" applyFill="1" applyAlignment="1">
      <alignment horizontal="center" vertical="center"/>
    </xf>
    <xf numFmtId="0" fontId="39" fillId="36" borderId="12" xfId="0" applyFont="1" applyFill="1" applyBorder="1" applyAlignment="1">
      <alignment horizontal="left" vertical="center" wrapText="1"/>
    </xf>
    <xf numFmtId="0" fontId="39" fillId="36" borderId="12" xfId="0" applyFont="1" applyFill="1" applyBorder="1" applyAlignment="1">
      <alignment horizontal="center" vertical="center" wrapText="1"/>
    </xf>
    <xf numFmtId="0" fontId="27" fillId="37" borderId="19" xfId="0" applyFont="1" applyFill="1" applyBorder="1" applyAlignment="1">
      <alignment horizontal="center" vertical="center"/>
    </xf>
    <xf numFmtId="0" fontId="0" fillId="37" borderId="19" xfId="0" applyFill="1" applyBorder="1"/>
    <xf numFmtId="0" fontId="0" fillId="0" borderId="15" xfId="0" applyBorder="1"/>
    <xf numFmtId="0" fontId="27" fillId="37" borderId="14" xfId="0" applyFont="1" applyFill="1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23" fillId="35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3" fillId="35" borderId="11" xfId="0" applyFont="1" applyFill="1" applyBorder="1" applyAlignment="1">
      <alignment horizontal="left" vertical="center"/>
    </xf>
    <xf numFmtId="0" fontId="0" fillId="0" borderId="11" xfId="0" applyBorder="1"/>
    <xf numFmtId="0" fontId="24" fillId="35" borderId="11" xfId="0" applyFont="1" applyFill="1" applyBorder="1" applyAlignment="1">
      <alignment horizontal="left" vertical="center" wrapText="1"/>
    </xf>
    <xf numFmtId="0" fontId="25" fillId="35" borderId="11" xfId="0" applyFont="1" applyFill="1" applyBorder="1" applyAlignment="1">
      <alignment horizontal="right" vertical="center"/>
    </xf>
    <xf numFmtId="0" fontId="23" fillId="35" borderId="23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8" fillId="36" borderId="16" xfId="0" applyFont="1" applyFill="1" applyBorder="1" applyAlignment="1">
      <alignment horizontal="left" vertical="center"/>
    </xf>
    <xf numFmtId="0" fontId="0" fillId="36" borderId="16" xfId="0" applyFill="1" applyBorder="1"/>
    <xf numFmtId="0" fontId="35" fillId="47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41" fillId="47" borderId="20" xfId="0" applyFont="1" applyFill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4" fontId="31" fillId="47" borderId="10" xfId="0" applyNumberFormat="1" applyFont="1" applyFill="1" applyBorder="1" applyAlignment="1">
      <alignment horizontal="center" vertical="center" wrapText="1"/>
    </xf>
    <xf numFmtId="44" fontId="33" fillId="53" borderId="10" xfId="3" applyFont="1" applyFill="1" applyBorder="1" applyAlignment="1">
      <alignment horizontal="center" vertical="center" wrapText="1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0"/>
  <tableStyles count="0" defaultTableStyle="TableStyleMedium2" defaultPivotStyle="PivotStyleLight16"/>
  <colors>
    <mruColors>
      <color rgb="FF783877"/>
      <color rgb="FFC99CFF"/>
      <color rgb="FF08072F"/>
      <color rgb="FF36E8E8"/>
      <color rgb="FFF7B83B"/>
      <color rgb="FF57C84D"/>
      <color rgb="FF44546A"/>
      <color rgb="FF11113D"/>
      <color rgb="FFF7F7FA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WL">
  <a:themeElements>
    <a:clrScheme name="Diamond">
      <a:dk1>
        <a:srgbClr val="262626"/>
      </a:dk1>
      <a:lt1>
        <a:sysClr val="window" lastClr="FFFFFF"/>
      </a:lt1>
      <a:dk2>
        <a:srgbClr val="44546A"/>
      </a:dk2>
      <a:lt2>
        <a:srgbClr val="E7E6E6"/>
      </a:lt2>
      <a:accent1>
        <a:srgbClr val="A04B9D"/>
      </a:accent1>
      <a:accent2>
        <a:srgbClr val="E77A17"/>
      </a:accent2>
      <a:accent3>
        <a:srgbClr val="FFB600"/>
      </a:accent3>
      <a:accent4>
        <a:srgbClr val="2F85E3"/>
      </a:accent4>
      <a:accent5>
        <a:srgbClr val="EC3C70"/>
      </a:accent5>
      <a:accent6>
        <a:srgbClr val="69BE51"/>
      </a:accent6>
      <a:hlink>
        <a:srgbClr val="0563C1"/>
      </a:hlink>
      <a:folHlink>
        <a:srgbClr val="954F72"/>
      </a:folHlink>
    </a:clrScheme>
    <a:fontScheme name="Custom 26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E096-07CA-4C73-ABE4-F085834E2040}">
  <dimension ref="A1:AU50"/>
  <sheetViews>
    <sheetView tabSelected="1" topLeftCell="A7" zoomScale="41" zoomScaleNormal="41" workbookViewId="0">
      <selection activeCell="AJ21" sqref="AJ21"/>
    </sheetView>
  </sheetViews>
  <sheetFormatPr defaultRowHeight="14.5" x14ac:dyDescent="0.35"/>
  <cols>
    <col min="1" max="1" width="19.25" customWidth="1"/>
    <col min="2" max="2" width="34.33203125" customWidth="1"/>
    <col min="3" max="3" width="17.9140625" customWidth="1"/>
    <col min="4" max="16" width="7.9140625" customWidth="1"/>
    <col min="17" max="17" width="8.25" customWidth="1"/>
    <col min="18" max="18" width="8.75" customWidth="1"/>
    <col min="19" max="19" width="7.9140625" customWidth="1"/>
    <col min="20" max="20" width="8" customWidth="1"/>
    <col min="21" max="21" width="7.6640625" customWidth="1"/>
    <col min="22" max="32" width="7.9140625" customWidth="1"/>
    <col min="36" max="36" width="25.6640625" customWidth="1"/>
    <col min="41" max="41" width="27.08203125" customWidth="1"/>
  </cols>
  <sheetData>
    <row r="1" spans="1:47" ht="31.25" customHeight="1" x14ac:dyDescent="0.35">
      <c r="A1" s="120" t="s">
        <v>56</v>
      </c>
      <c r="B1" s="121"/>
      <c r="C1" s="121"/>
      <c r="D1" s="122" t="s">
        <v>83</v>
      </c>
      <c r="E1" s="121"/>
      <c r="F1" s="121"/>
      <c r="G1" s="121"/>
      <c r="H1" s="121"/>
      <c r="I1" s="121"/>
      <c r="J1" s="121"/>
      <c r="K1" s="123" t="s">
        <v>57</v>
      </c>
      <c r="L1" s="121"/>
      <c r="M1" s="121"/>
      <c r="N1" s="121"/>
      <c r="O1" s="121"/>
      <c r="P1" s="121"/>
      <c r="Q1" s="121"/>
      <c r="R1" s="121"/>
      <c r="S1" s="121"/>
      <c r="T1" s="12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30.65" customHeight="1" x14ac:dyDescent="0.35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22.25" customHeight="1" x14ac:dyDescent="0.35">
      <c r="A3" s="124" t="s">
        <v>81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7" t="s">
        <v>82</v>
      </c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3"/>
      <c r="AN3" s="3"/>
      <c r="AO3" s="3"/>
      <c r="AP3" s="3"/>
      <c r="AQ3" s="3"/>
      <c r="AR3" s="3"/>
      <c r="AS3" s="3"/>
      <c r="AT3" s="3"/>
      <c r="AU3" s="3"/>
    </row>
    <row r="4" spans="1:47" ht="30.65" customHeight="1" x14ac:dyDescent="0.35">
      <c r="A4" s="125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3"/>
      <c r="AN4" s="3"/>
      <c r="AO4" s="3"/>
      <c r="AP4" s="3"/>
      <c r="AQ4" s="3"/>
      <c r="AR4" s="3"/>
      <c r="AS4" s="3"/>
      <c r="AT4" s="3"/>
      <c r="AU4" s="3"/>
    </row>
    <row r="5" spans="1:47" ht="29" customHeight="1" x14ac:dyDescent="0.35">
      <c r="A5" s="4"/>
      <c r="B5" s="4"/>
      <c r="C5" s="4"/>
      <c r="D5" s="111" t="s">
        <v>58</v>
      </c>
      <c r="E5" s="112"/>
      <c r="F5" s="112"/>
      <c r="G5" s="112"/>
      <c r="H5" s="112"/>
      <c r="I5" s="112"/>
      <c r="J5" s="112"/>
      <c r="K5" s="113"/>
      <c r="L5" s="114" t="s">
        <v>59</v>
      </c>
      <c r="M5" s="115"/>
      <c r="N5" s="115"/>
      <c r="O5" s="115"/>
      <c r="P5" s="115"/>
      <c r="Q5" s="115"/>
      <c r="R5" s="115"/>
      <c r="S5" s="113"/>
      <c r="T5" s="114" t="s">
        <v>87</v>
      </c>
      <c r="U5" s="116"/>
      <c r="V5" s="116"/>
      <c r="W5" s="116"/>
      <c r="X5" s="116"/>
      <c r="Y5" s="116"/>
      <c r="Z5" s="116"/>
      <c r="AA5" s="116"/>
      <c r="AB5" s="114" t="s">
        <v>88</v>
      </c>
      <c r="AC5" s="116"/>
      <c r="AD5" s="116"/>
      <c r="AE5" s="116"/>
      <c r="AF5" s="116"/>
      <c r="AG5" s="116"/>
      <c r="AH5" s="116"/>
      <c r="AI5" s="126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7" ht="29" customHeight="1" x14ac:dyDescent="0.35">
      <c r="A6" s="75" t="s">
        <v>60</v>
      </c>
      <c r="B6" s="75" t="s">
        <v>61</v>
      </c>
      <c r="C6" s="75" t="s">
        <v>0</v>
      </c>
      <c r="D6" s="84">
        <v>46240</v>
      </c>
      <c r="E6" s="84">
        <v>46245</v>
      </c>
      <c r="F6" s="84">
        <v>46247</v>
      </c>
      <c r="G6" s="84">
        <v>46252</v>
      </c>
      <c r="H6" s="84">
        <v>46254</v>
      </c>
      <c r="I6" s="84">
        <v>46259</v>
      </c>
      <c r="J6" s="84">
        <v>46261</v>
      </c>
      <c r="K6" s="84">
        <v>46265</v>
      </c>
      <c r="L6" s="84">
        <v>46268</v>
      </c>
      <c r="M6" s="84">
        <v>46273</v>
      </c>
      <c r="N6" s="84">
        <v>46275</v>
      </c>
      <c r="O6" s="84">
        <v>46280</v>
      </c>
      <c r="P6" s="84">
        <v>46282</v>
      </c>
      <c r="Q6" s="84">
        <v>46287</v>
      </c>
      <c r="R6" s="84">
        <v>46289</v>
      </c>
      <c r="S6" s="84">
        <v>46294</v>
      </c>
      <c r="T6" s="84">
        <v>46296</v>
      </c>
      <c r="U6" s="84">
        <v>46301</v>
      </c>
      <c r="V6" s="84">
        <v>46303</v>
      </c>
      <c r="W6" s="84">
        <v>46308</v>
      </c>
      <c r="X6" s="84">
        <v>46310</v>
      </c>
      <c r="Y6" s="84">
        <v>46317</v>
      </c>
      <c r="Z6" s="84">
        <v>46319</v>
      </c>
      <c r="AA6" s="84">
        <v>46324</v>
      </c>
      <c r="AB6" s="84">
        <v>46329</v>
      </c>
      <c r="AC6" s="84">
        <v>46331</v>
      </c>
      <c r="AD6" s="84">
        <v>46336</v>
      </c>
      <c r="AE6" s="84">
        <v>46338</v>
      </c>
      <c r="AF6" s="84">
        <v>46343</v>
      </c>
      <c r="AG6" s="84">
        <v>46345</v>
      </c>
      <c r="AH6" s="84">
        <v>46348</v>
      </c>
      <c r="AI6" s="84">
        <v>46350</v>
      </c>
      <c r="AJ6" s="75" t="s">
        <v>62</v>
      </c>
      <c r="AK6" s="3"/>
      <c r="AL6" s="3"/>
      <c r="AM6" s="3"/>
      <c r="AN6" s="69"/>
      <c r="AO6" s="99" t="s">
        <v>92</v>
      </c>
      <c r="AP6" s="99"/>
      <c r="AQ6" s="99"/>
      <c r="AR6" s="99"/>
      <c r="AS6" s="99"/>
      <c r="AT6" s="99"/>
      <c r="AU6" s="3"/>
    </row>
    <row r="7" spans="1:47" ht="30" customHeight="1" x14ac:dyDescent="0.35">
      <c r="A7" s="76" t="s">
        <v>63</v>
      </c>
      <c r="B7" s="70" t="s">
        <v>13</v>
      </c>
      <c r="C7" s="71" t="s">
        <v>14</v>
      </c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72" t="s">
        <v>64</v>
      </c>
      <c r="AK7" s="3"/>
      <c r="AL7" s="3"/>
      <c r="AM7" s="3"/>
      <c r="AN7" s="12"/>
      <c r="AO7" s="99"/>
      <c r="AP7" s="99"/>
      <c r="AQ7" s="99"/>
      <c r="AR7" s="99"/>
      <c r="AS7" s="99"/>
      <c r="AT7" s="99"/>
      <c r="AU7" s="3"/>
    </row>
    <row r="8" spans="1:47" ht="30" customHeight="1" x14ac:dyDescent="0.35">
      <c r="A8" s="76" t="s">
        <v>63</v>
      </c>
      <c r="B8" s="70" t="s">
        <v>15</v>
      </c>
      <c r="C8" s="71" t="s">
        <v>5</v>
      </c>
      <c r="D8" s="10"/>
      <c r="E8" s="10"/>
      <c r="F8" s="10"/>
      <c r="G8" s="10"/>
      <c r="H8" s="1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72" t="s">
        <v>64</v>
      </c>
      <c r="AK8" s="3"/>
      <c r="AL8" s="3"/>
      <c r="AM8" s="3"/>
      <c r="AN8" s="97"/>
      <c r="AO8" s="99" t="s">
        <v>93</v>
      </c>
      <c r="AP8" s="99"/>
      <c r="AQ8" s="99"/>
      <c r="AR8" s="99"/>
      <c r="AS8" s="99"/>
      <c r="AT8" s="99"/>
      <c r="AU8" s="3"/>
    </row>
    <row r="9" spans="1:47" ht="30" customHeight="1" x14ac:dyDescent="0.35">
      <c r="A9" s="76" t="s">
        <v>63</v>
      </c>
      <c r="B9" s="70" t="s">
        <v>16</v>
      </c>
      <c r="C9" s="71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"/>
      <c r="P9" s="12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73" t="s">
        <v>80</v>
      </c>
      <c r="AK9" s="3"/>
      <c r="AL9" s="3"/>
      <c r="AM9" s="3"/>
      <c r="AN9" s="98"/>
      <c r="AO9" s="99" t="s">
        <v>94</v>
      </c>
      <c r="AP9" s="99"/>
      <c r="AQ9" s="99"/>
      <c r="AR9" s="99"/>
      <c r="AS9" s="99"/>
      <c r="AT9" s="99"/>
      <c r="AU9" s="3"/>
    </row>
    <row r="10" spans="1:47" ht="30" customHeight="1" x14ac:dyDescent="0.35">
      <c r="A10" s="76" t="s">
        <v>63</v>
      </c>
      <c r="B10" s="70" t="s">
        <v>17</v>
      </c>
      <c r="C10" s="71" t="s">
        <v>3</v>
      </c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72" t="s">
        <v>64</v>
      </c>
      <c r="AK10" s="3"/>
      <c r="AL10" s="3"/>
      <c r="AM10" s="3"/>
      <c r="AN10" s="68"/>
      <c r="AO10" s="99" t="s">
        <v>95</v>
      </c>
      <c r="AP10" s="99"/>
      <c r="AQ10" s="99"/>
      <c r="AR10" s="99"/>
      <c r="AS10" s="99"/>
      <c r="AT10" s="99"/>
      <c r="AU10" s="3"/>
    </row>
    <row r="11" spans="1:47" ht="30.75" customHeight="1" x14ac:dyDescent="0.35">
      <c r="A11" s="76" t="s">
        <v>63</v>
      </c>
      <c r="B11" s="70" t="s">
        <v>65</v>
      </c>
      <c r="C11" s="71" t="s">
        <v>11</v>
      </c>
      <c r="D11" s="10"/>
      <c r="E11" s="10"/>
      <c r="F11" s="10"/>
      <c r="G11" s="10"/>
      <c r="H11" s="10"/>
      <c r="I11" s="10"/>
      <c r="J11" s="1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72" t="s">
        <v>64</v>
      </c>
      <c r="AK11" s="3"/>
      <c r="AL11" s="3"/>
      <c r="AM11" s="3"/>
      <c r="AN11" s="102"/>
      <c r="AO11" s="99" t="s">
        <v>98</v>
      </c>
      <c r="AP11" s="3"/>
      <c r="AQ11" s="3"/>
      <c r="AR11" s="3"/>
      <c r="AS11" s="3"/>
      <c r="AT11" s="3"/>
      <c r="AU11" s="3"/>
    </row>
    <row r="12" spans="1:47" ht="30" customHeight="1" x14ac:dyDescent="0.35">
      <c r="A12" s="76" t="s">
        <v>63</v>
      </c>
      <c r="B12" s="70" t="s">
        <v>18</v>
      </c>
      <c r="C12" s="71" t="s">
        <v>19</v>
      </c>
      <c r="D12" s="10"/>
      <c r="E12" s="10"/>
      <c r="F12" s="10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72" t="s">
        <v>64</v>
      </c>
      <c r="AK12" s="3"/>
      <c r="AL12" s="3"/>
      <c r="AM12" s="3"/>
      <c r="AN12" s="3"/>
      <c r="AO12" s="104"/>
      <c r="AP12" s="3"/>
      <c r="AQ12" s="3"/>
      <c r="AR12" s="3"/>
      <c r="AS12" s="3"/>
      <c r="AT12" s="3"/>
      <c r="AU12" s="3"/>
    </row>
    <row r="13" spans="1:47" ht="30" customHeight="1" x14ac:dyDescent="0.35">
      <c r="A13" s="77" t="s">
        <v>66</v>
      </c>
      <c r="B13" s="70" t="s">
        <v>67</v>
      </c>
      <c r="C13" s="71" t="s">
        <v>3</v>
      </c>
      <c r="D13" s="5"/>
      <c r="E13" s="5"/>
      <c r="F13" s="6"/>
      <c r="G13" s="6"/>
      <c r="H13" s="6"/>
      <c r="I13" s="6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72" t="s">
        <v>64</v>
      </c>
      <c r="AK13" s="3"/>
      <c r="AL13" s="3"/>
      <c r="AM13" s="3"/>
      <c r="AN13" s="3"/>
      <c r="AO13" s="104"/>
      <c r="AP13" s="3"/>
      <c r="AQ13" s="3"/>
      <c r="AR13" s="3"/>
      <c r="AS13" s="3"/>
      <c r="AT13" s="3"/>
      <c r="AU13" s="3"/>
    </row>
    <row r="14" spans="1:47" ht="30" customHeight="1" x14ac:dyDescent="0.35">
      <c r="A14" s="78" t="s">
        <v>68</v>
      </c>
      <c r="B14" s="70" t="s">
        <v>4</v>
      </c>
      <c r="C14" s="71" t="s">
        <v>12</v>
      </c>
      <c r="D14" s="5"/>
      <c r="E14" s="5"/>
      <c r="F14" s="11"/>
      <c r="G14" s="11"/>
      <c r="H14" s="1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72" t="s">
        <v>64</v>
      </c>
      <c r="AK14" s="3"/>
      <c r="AL14" s="3"/>
      <c r="AM14" s="3"/>
      <c r="AN14" s="3"/>
      <c r="AO14" s="104"/>
      <c r="AP14" s="3"/>
      <c r="AQ14" s="3"/>
      <c r="AR14" s="3"/>
      <c r="AS14" s="3"/>
      <c r="AT14" s="3"/>
      <c r="AU14" s="3"/>
    </row>
    <row r="15" spans="1:47" ht="30" customHeight="1" x14ac:dyDescent="0.35">
      <c r="A15" s="78" t="s">
        <v>68</v>
      </c>
      <c r="B15" s="70" t="s">
        <v>7</v>
      </c>
      <c r="C15" s="71" t="s">
        <v>96</v>
      </c>
      <c r="D15" s="5"/>
      <c r="E15" s="5"/>
      <c r="F15" s="11"/>
      <c r="G15" s="11"/>
      <c r="H15" s="11"/>
      <c r="I15" s="11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72" t="s">
        <v>64</v>
      </c>
      <c r="AK15" s="3"/>
      <c r="AL15" s="3"/>
      <c r="AM15" s="3"/>
      <c r="AN15" s="3"/>
      <c r="AO15" s="104"/>
      <c r="AP15" s="3"/>
      <c r="AQ15" s="3"/>
      <c r="AR15" s="3"/>
      <c r="AS15" s="3"/>
      <c r="AT15" s="3"/>
      <c r="AU15" s="3"/>
    </row>
    <row r="16" spans="1:47" ht="30" customHeight="1" x14ac:dyDescent="0.35">
      <c r="A16" s="79" t="s">
        <v>69</v>
      </c>
      <c r="B16" s="70" t="s">
        <v>10</v>
      </c>
      <c r="C16" s="71" t="s">
        <v>6</v>
      </c>
      <c r="D16" s="5"/>
      <c r="E16" s="5"/>
      <c r="F16" s="7"/>
      <c r="G16" s="7"/>
      <c r="H16" s="7"/>
      <c r="I16" s="7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72" t="s">
        <v>64</v>
      </c>
      <c r="AK16" s="3"/>
      <c r="AL16" s="3"/>
      <c r="AM16" s="3"/>
      <c r="AN16" s="3"/>
      <c r="AO16" s="104"/>
      <c r="AP16" s="3"/>
      <c r="AQ16" s="3"/>
      <c r="AR16" s="3"/>
      <c r="AS16" s="3"/>
      <c r="AT16" s="3"/>
      <c r="AU16" s="3"/>
    </row>
    <row r="17" spans="1:47" ht="30" customHeight="1" x14ac:dyDescent="0.35">
      <c r="A17" s="79" t="s">
        <v>69</v>
      </c>
      <c r="B17" s="70" t="s">
        <v>9</v>
      </c>
      <c r="C17" s="71" t="s">
        <v>5</v>
      </c>
      <c r="D17" s="5"/>
      <c r="E17" s="5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2"/>
      <c r="R17" s="12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72" t="s">
        <v>64</v>
      </c>
      <c r="AK17" s="3"/>
      <c r="AL17" s="3"/>
      <c r="AM17" s="3"/>
      <c r="AN17" s="3"/>
      <c r="AO17" s="104"/>
      <c r="AP17" s="3"/>
      <c r="AQ17" s="3"/>
      <c r="AR17" s="3"/>
      <c r="AS17" s="3"/>
      <c r="AT17" s="3"/>
      <c r="AU17" s="3"/>
    </row>
    <row r="18" spans="1:47" ht="30" customHeight="1" x14ac:dyDescent="0.35">
      <c r="A18" s="79" t="s">
        <v>69</v>
      </c>
      <c r="B18" s="70" t="s">
        <v>20</v>
      </c>
      <c r="C18" s="71" t="s">
        <v>14</v>
      </c>
      <c r="D18" s="5"/>
      <c r="E18" s="5"/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72" t="s">
        <v>64</v>
      </c>
      <c r="AK18" s="3"/>
      <c r="AL18" s="3"/>
      <c r="AM18" s="3"/>
      <c r="AN18" s="3"/>
      <c r="AO18" s="104"/>
      <c r="AP18" s="3"/>
      <c r="AQ18" s="3"/>
      <c r="AR18" s="3"/>
      <c r="AS18" s="3"/>
      <c r="AT18" s="3"/>
      <c r="AU18" s="3"/>
    </row>
    <row r="19" spans="1:47" ht="30" customHeight="1" x14ac:dyDescent="0.35">
      <c r="A19" s="80" t="s">
        <v>66</v>
      </c>
      <c r="B19" s="70" t="s">
        <v>70</v>
      </c>
      <c r="C19" s="71" t="s">
        <v>3</v>
      </c>
      <c r="D19" s="5"/>
      <c r="E19" s="5"/>
      <c r="F19" s="9"/>
      <c r="G19" s="9"/>
      <c r="H19" s="8"/>
      <c r="I19" s="8"/>
      <c r="J19" s="8"/>
      <c r="K19" s="8"/>
      <c r="L19" s="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72" t="s">
        <v>64</v>
      </c>
      <c r="AK19" s="3"/>
      <c r="AL19" s="3"/>
      <c r="AM19" s="3"/>
      <c r="AN19" s="3"/>
      <c r="AO19" s="104"/>
      <c r="AP19" s="3"/>
      <c r="AQ19" s="3"/>
      <c r="AR19" s="3"/>
      <c r="AS19" s="3"/>
      <c r="AT19" s="3"/>
      <c r="AU19" s="3"/>
    </row>
    <row r="20" spans="1:47" ht="36" customHeight="1" x14ac:dyDescent="0.35">
      <c r="A20" s="81" t="s">
        <v>72</v>
      </c>
      <c r="B20" s="70" t="s">
        <v>71</v>
      </c>
      <c r="C20" s="71" t="s">
        <v>106</v>
      </c>
      <c r="D20" s="5"/>
      <c r="E20" s="5"/>
      <c r="F20" s="9"/>
      <c r="G20" s="9"/>
      <c r="H20" s="9"/>
      <c r="I20" s="9"/>
      <c r="J20" s="9"/>
      <c r="K20" s="9"/>
      <c r="L20" s="63"/>
      <c r="M20" s="63"/>
      <c r="N20" s="63"/>
      <c r="O20" s="63"/>
      <c r="P20" s="63"/>
      <c r="Q20" s="69"/>
      <c r="R20" s="69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00" t="s">
        <v>97</v>
      </c>
      <c r="AK20" s="3"/>
      <c r="AL20" s="3"/>
      <c r="AM20" s="3"/>
      <c r="AN20" s="3"/>
      <c r="AO20" s="105"/>
      <c r="AP20" s="3"/>
      <c r="AQ20" s="3"/>
      <c r="AR20" s="3"/>
      <c r="AS20" s="3"/>
      <c r="AT20" s="3"/>
      <c r="AU20" s="3"/>
    </row>
    <row r="21" spans="1:47" ht="30" customHeight="1" x14ac:dyDescent="0.35">
      <c r="A21" s="82" t="s">
        <v>75</v>
      </c>
      <c r="B21" s="70" t="s">
        <v>74</v>
      </c>
      <c r="C21" s="71" t="s">
        <v>8</v>
      </c>
      <c r="D21" s="5"/>
      <c r="E21" s="5"/>
      <c r="F21" s="9"/>
      <c r="G21" s="9"/>
      <c r="H21" s="9"/>
      <c r="I21" s="9"/>
      <c r="J21" s="9"/>
      <c r="K21" s="9"/>
      <c r="L21" s="61"/>
      <c r="M21" s="62"/>
      <c r="N21" s="62"/>
      <c r="O21" s="69"/>
      <c r="P21" s="69"/>
      <c r="Q21" s="69"/>
      <c r="R21" s="69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72" t="s">
        <v>64</v>
      </c>
      <c r="AK21" s="3"/>
      <c r="AL21" s="3"/>
      <c r="AM21" s="3"/>
      <c r="AN21" s="3"/>
      <c r="AO21" s="105"/>
      <c r="AP21" s="3"/>
      <c r="AQ21" s="3"/>
      <c r="AR21" s="3"/>
      <c r="AS21" s="3"/>
      <c r="AT21" s="3"/>
      <c r="AU21" s="3"/>
    </row>
    <row r="22" spans="1:47" ht="30" customHeight="1" x14ac:dyDescent="0.35">
      <c r="A22" s="81" t="s">
        <v>72</v>
      </c>
      <c r="B22" s="70" t="s">
        <v>76</v>
      </c>
      <c r="C22" s="71" t="s">
        <v>3</v>
      </c>
      <c r="D22" s="5"/>
      <c r="E22" s="5"/>
      <c r="F22" s="9"/>
      <c r="G22" s="9"/>
      <c r="H22" s="9"/>
      <c r="I22" s="9"/>
      <c r="J22" s="9"/>
      <c r="K22" s="9"/>
      <c r="L22" s="63"/>
      <c r="M22" s="63"/>
      <c r="N22" s="63"/>
      <c r="O22" s="63"/>
      <c r="P22" s="63"/>
      <c r="Q22" s="63"/>
      <c r="R22" s="63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72" t="s">
        <v>64</v>
      </c>
      <c r="AK22" s="3"/>
      <c r="AL22" s="3"/>
      <c r="AM22" s="3"/>
      <c r="AN22" s="3"/>
      <c r="AO22" s="105"/>
      <c r="AP22" s="3"/>
      <c r="AQ22" s="3"/>
      <c r="AR22" s="3"/>
      <c r="AS22" s="3"/>
      <c r="AT22" s="3"/>
      <c r="AU22" s="3"/>
    </row>
    <row r="23" spans="1:47" ht="30" customHeight="1" x14ac:dyDescent="0.35">
      <c r="A23" s="83" t="s">
        <v>78</v>
      </c>
      <c r="B23" s="70" t="s">
        <v>77</v>
      </c>
      <c r="C23" s="71" t="s">
        <v>14</v>
      </c>
      <c r="D23" s="5"/>
      <c r="E23" s="5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74" t="s">
        <v>73</v>
      </c>
      <c r="AK23" s="3"/>
      <c r="AL23" s="3"/>
      <c r="AM23" s="3"/>
      <c r="AN23" s="3"/>
      <c r="AO23" s="105"/>
      <c r="AP23" s="3"/>
      <c r="AQ23" s="3"/>
      <c r="AR23" s="3"/>
      <c r="AS23" s="3"/>
      <c r="AT23" s="3"/>
      <c r="AU23" s="3"/>
    </row>
    <row r="24" spans="1:47" ht="28.5" customHeight="1" x14ac:dyDescent="0.35">
      <c r="A24" s="94"/>
      <c r="B24" s="109"/>
      <c r="C24" s="11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05" t="s">
        <v>80</v>
      </c>
      <c r="AK24" s="3"/>
      <c r="AL24" s="3"/>
      <c r="AM24" s="3"/>
      <c r="AN24" s="3"/>
      <c r="AO24" s="105"/>
      <c r="AP24" s="3"/>
      <c r="AQ24" s="3"/>
      <c r="AR24" s="3"/>
      <c r="AS24" s="3"/>
      <c r="AT24" s="3"/>
      <c r="AU24" s="3"/>
    </row>
    <row r="25" spans="1:47" ht="28.5" customHeight="1" x14ac:dyDescent="0.35">
      <c r="A25" s="83" t="s">
        <v>78</v>
      </c>
      <c r="B25" s="70" t="s">
        <v>89</v>
      </c>
      <c r="C25" s="71" t="s">
        <v>12</v>
      </c>
      <c r="D25" s="5"/>
      <c r="E25" s="5"/>
      <c r="F25" s="12"/>
      <c r="G25" s="12"/>
      <c r="H25" s="12"/>
      <c r="I25" s="12"/>
      <c r="J25" s="12"/>
      <c r="K25" s="12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5"/>
      <c r="AE25" s="5"/>
      <c r="AF25" s="5"/>
      <c r="AG25" s="5"/>
      <c r="AH25" s="5"/>
      <c r="AI25" s="5"/>
      <c r="AJ25" s="73" t="s">
        <v>80</v>
      </c>
      <c r="AK25" s="3"/>
      <c r="AL25" s="3"/>
      <c r="AM25" s="3"/>
      <c r="AN25" s="3"/>
      <c r="AO25" s="105"/>
      <c r="AP25" s="3"/>
      <c r="AQ25" s="3"/>
      <c r="AR25" s="3"/>
      <c r="AS25" s="3"/>
      <c r="AT25" s="3"/>
      <c r="AU25" s="3"/>
    </row>
    <row r="26" spans="1:47" ht="29" customHeight="1" x14ac:dyDescent="0.35">
      <c r="A26" s="82" t="s">
        <v>75</v>
      </c>
      <c r="B26" s="70" t="s">
        <v>90</v>
      </c>
      <c r="C26" s="71" t="s">
        <v>91</v>
      </c>
      <c r="D26" s="5"/>
      <c r="E26" s="5"/>
      <c r="F26" s="12"/>
      <c r="G26" s="12"/>
      <c r="H26" s="12"/>
      <c r="I26" s="12"/>
      <c r="J26" s="12"/>
      <c r="K26" s="12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5"/>
      <c r="AF26" s="5"/>
      <c r="AG26" s="5"/>
      <c r="AH26" s="5"/>
      <c r="AI26" s="5"/>
      <c r="AJ26" s="73" t="s">
        <v>80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ht="29" customHeight="1" x14ac:dyDescent="0.35">
      <c r="A27" s="81" t="s">
        <v>72</v>
      </c>
      <c r="B27" s="70" t="s">
        <v>99</v>
      </c>
      <c r="C27" s="71"/>
      <c r="D27" s="5"/>
      <c r="E27" s="5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9"/>
      <c r="Q27" s="9"/>
      <c r="R27" s="9"/>
      <c r="S27" s="9"/>
      <c r="T27" s="9"/>
      <c r="U27" s="9"/>
      <c r="V27" s="9"/>
      <c r="W27" s="9"/>
      <c r="X27" s="9"/>
      <c r="Y27" s="12"/>
      <c r="Z27" s="12"/>
      <c r="AA27" s="12"/>
      <c r="AB27" s="12"/>
      <c r="AC27" s="12"/>
      <c r="AD27" s="12"/>
      <c r="AE27" s="12"/>
      <c r="AF27" s="5"/>
      <c r="AG27" s="5"/>
      <c r="AH27" s="5"/>
      <c r="AI27" s="5"/>
      <c r="AJ27" s="74" t="s">
        <v>73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ht="29" customHeight="1" x14ac:dyDescent="0.35">
      <c r="A28" s="83" t="s">
        <v>78</v>
      </c>
      <c r="B28" s="70" t="s">
        <v>100</v>
      </c>
      <c r="C28" s="71"/>
      <c r="D28" s="5"/>
      <c r="E28" s="5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9"/>
      <c r="Q28" s="9"/>
      <c r="R28" s="9"/>
      <c r="S28" s="9"/>
      <c r="T28" s="9"/>
      <c r="U28" s="9"/>
      <c r="V28" s="9"/>
      <c r="W28" s="9"/>
      <c r="X28" s="9"/>
      <c r="Y28" s="9"/>
      <c r="Z28" s="12"/>
      <c r="AA28" s="12"/>
      <c r="AB28" s="12"/>
      <c r="AC28" s="12"/>
      <c r="AD28" s="12"/>
      <c r="AE28" s="12"/>
      <c r="AF28" s="5"/>
      <c r="AG28" s="5"/>
      <c r="AH28" s="5"/>
      <c r="AI28" s="5"/>
      <c r="AJ28" s="74" t="s">
        <v>73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ht="29" customHeight="1" x14ac:dyDescent="0.35">
      <c r="A29" s="83" t="s">
        <v>78</v>
      </c>
      <c r="B29" s="70" t="s">
        <v>101</v>
      </c>
      <c r="C29" s="71"/>
      <c r="D29" s="5"/>
      <c r="E29" s="5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2"/>
      <c r="AE29" s="12"/>
      <c r="AF29" s="5"/>
      <c r="AG29" s="5"/>
      <c r="AH29" s="5"/>
      <c r="AI29" s="5"/>
      <c r="AJ29" s="74" t="s">
        <v>73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ht="29" customHeight="1" x14ac:dyDescent="0.35">
      <c r="A30" s="108" t="s">
        <v>104</v>
      </c>
      <c r="B30" s="106" t="s">
        <v>103</v>
      </c>
      <c r="C30" s="71"/>
      <c r="D30" s="5"/>
      <c r="E30" s="5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2"/>
      <c r="AF30" s="5"/>
      <c r="AG30" s="5"/>
      <c r="AH30" s="5"/>
      <c r="AI30" s="5"/>
      <c r="AJ30" s="74" t="s">
        <v>73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ht="29" customHeight="1" x14ac:dyDescent="0.35">
      <c r="A31" s="3"/>
      <c r="B31" s="3"/>
      <c r="C31" s="107"/>
      <c r="D31" s="3"/>
      <c r="E31" s="3"/>
      <c r="F31" s="3"/>
      <c r="G31" s="3"/>
      <c r="H31" s="3"/>
      <c r="I31" s="3"/>
      <c r="J31" s="3"/>
      <c r="K31" s="99"/>
      <c r="L31" s="99"/>
      <c r="M31" s="99"/>
      <c r="N31" s="99"/>
      <c r="O31" s="99"/>
      <c r="P31" s="9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99"/>
      <c r="L32" s="99"/>
      <c r="M32" s="99"/>
      <c r="N32" s="99"/>
      <c r="O32" s="99"/>
      <c r="P32" s="99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x14ac:dyDescent="0.35">
      <c r="A33" s="3"/>
      <c r="B33" s="3"/>
      <c r="C33" s="3" t="s">
        <v>102</v>
      </c>
      <c r="D33" s="3"/>
      <c r="E33" s="3"/>
      <c r="F33" s="3"/>
      <c r="G33" s="3"/>
      <c r="H33" s="3"/>
      <c r="I33" s="3"/>
      <c r="J33" s="3"/>
      <c r="K33" s="99"/>
      <c r="L33" s="99"/>
      <c r="M33" s="99"/>
      <c r="N33" s="99"/>
      <c r="O33" s="99"/>
      <c r="P33" s="9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x14ac:dyDescent="0.35">
      <c r="A34" s="3"/>
      <c r="B34" s="3"/>
      <c r="C34" s="3"/>
      <c r="D34" s="3"/>
      <c r="E34" s="3"/>
      <c r="F34" s="3"/>
      <c r="G34" s="3"/>
      <c r="H34" s="3"/>
      <c r="I34" s="3"/>
      <c r="J34" s="101"/>
      <c r="K34" s="9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1:47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7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1:47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1:47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1:47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1:47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1:47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1:47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1:47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1:47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1:47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7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1:47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</sheetData>
  <mergeCells count="9">
    <mergeCell ref="D5:K5"/>
    <mergeCell ref="L5:S5"/>
    <mergeCell ref="T5:AA5"/>
    <mergeCell ref="T3:AL4"/>
    <mergeCell ref="A1:C2"/>
    <mergeCell ref="D1:J2"/>
    <mergeCell ref="K1:T2"/>
    <mergeCell ref="A3:S4"/>
    <mergeCell ref="AB5:AI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A3EF-190F-42B7-B4FA-3D695B9FC4ED}">
  <sheetPr>
    <pageSetUpPr fitToPage="1"/>
  </sheetPr>
  <dimension ref="A1:U49"/>
  <sheetViews>
    <sheetView showGridLines="0" topLeftCell="D23" zoomScale="40" zoomScaleNormal="40" workbookViewId="0">
      <selection activeCell="I8" sqref="I8"/>
    </sheetView>
  </sheetViews>
  <sheetFormatPr defaultColWidth="9.08203125" defaultRowHeight="18" customHeight="1" x14ac:dyDescent="0.35"/>
  <cols>
    <col min="1" max="1" width="4" style="2" customWidth="1"/>
    <col min="2" max="2" width="30.6640625" style="2" customWidth="1"/>
    <col min="3" max="3" width="48.4140625" style="2" customWidth="1"/>
    <col min="4" max="4" width="36.9140625" style="2" customWidth="1"/>
    <col min="5" max="5" width="33" style="2" customWidth="1"/>
    <col min="6" max="6" width="30.6640625" style="2" customWidth="1"/>
    <col min="7" max="7" width="42.33203125" style="2" customWidth="1"/>
    <col min="8" max="8" width="40" style="2" customWidth="1"/>
    <col min="9" max="9" width="36.9140625" style="2" customWidth="1"/>
    <col min="10" max="10" width="9.08203125" style="2" customWidth="1"/>
    <col min="11" max="12" width="9.08203125" style="2"/>
    <col min="13" max="13" width="33" style="2" customWidth="1"/>
    <col min="14" max="14" width="46.9140625" style="2" customWidth="1"/>
    <col min="15" max="15" width="27.25" style="2" customWidth="1"/>
    <col min="16" max="16" width="25.4140625" style="2" customWidth="1"/>
    <col min="17" max="20" width="24.4140625" style="2" customWidth="1"/>
    <col min="21" max="16384" width="9.08203125" style="2"/>
  </cols>
  <sheetData>
    <row r="1" spans="1:21" s="1" customFormat="1" ht="73.5" customHeight="1" thickBot="1" x14ac:dyDescent="0.4">
      <c r="A1" s="24"/>
      <c r="B1" s="127" t="s">
        <v>79</v>
      </c>
      <c r="C1" s="128"/>
      <c r="D1" s="128"/>
      <c r="E1" s="128"/>
      <c r="F1" s="128"/>
      <c r="G1" s="128"/>
      <c r="H1" s="14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23" x14ac:dyDescent="0.35">
      <c r="A2" s="16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30.65" customHeight="1" x14ac:dyDescent="0.5">
      <c r="A3" s="16"/>
      <c r="B3" s="17"/>
      <c r="C3" s="18"/>
      <c r="D3" s="19"/>
      <c r="E3" s="20"/>
      <c r="F3" s="21"/>
      <c r="G3" s="22"/>
      <c r="H3" s="23"/>
      <c r="I3" s="23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30.65" customHeight="1" x14ac:dyDescent="0.35">
      <c r="A4" s="16"/>
      <c r="B4" s="40" t="s">
        <v>26</v>
      </c>
      <c r="C4" s="40" t="s">
        <v>1</v>
      </c>
      <c r="D4" s="40" t="s">
        <v>25</v>
      </c>
      <c r="E4" s="40" t="s">
        <v>54</v>
      </c>
      <c r="F4" s="40" t="s">
        <v>31</v>
      </c>
      <c r="G4" s="40" t="s">
        <v>24</v>
      </c>
      <c r="H4" s="40" t="s">
        <v>27</v>
      </c>
      <c r="I4" s="41"/>
      <c r="J4" s="42"/>
      <c r="K4" s="42"/>
      <c r="L4" s="42"/>
      <c r="M4" s="131" t="s">
        <v>84</v>
      </c>
      <c r="N4" s="132"/>
      <c r="O4" s="133"/>
      <c r="P4" s="42"/>
      <c r="Q4" s="42"/>
      <c r="R4" s="42"/>
      <c r="S4" s="42"/>
      <c r="T4" s="42"/>
      <c r="U4" s="16"/>
    </row>
    <row r="5" spans="1:21" ht="30.65" customHeight="1" x14ac:dyDescent="0.45">
      <c r="A5" s="16"/>
      <c r="B5" s="26" t="s">
        <v>3</v>
      </c>
      <c r="C5" s="27" t="s">
        <v>30</v>
      </c>
      <c r="D5" s="28">
        <v>2000</v>
      </c>
      <c r="E5" s="29" t="s">
        <v>53</v>
      </c>
      <c r="F5" s="29" t="s">
        <v>21</v>
      </c>
      <c r="G5" s="29">
        <v>16</v>
      </c>
      <c r="H5" s="39">
        <f t="shared" ref="H5:H10" si="0">D15/G5</f>
        <v>125</v>
      </c>
      <c r="I5" s="43"/>
      <c r="J5" s="44"/>
      <c r="K5" s="44"/>
      <c r="L5" s="44"/>
      <c r="M5" s="86" t="s">
        <v>3</v>
      </c>
      <c r="N5" s="87" t="s">
        <v>30</v>
      </c>
      <c r="O5" s="88">
        <f t="shared" ref="O5:O10" si="1">I15+I22+I29+I36</f>
        <v>3250</v>
      </c>
      <c r="P5" s="44"/>
      <c r="Q5" s="44"/>
      <c r="R5" s="44"/>
      <c r="S5" s="44"/>
      <c r="T5" s="44"/>
      <c r="U5" s="25"/>
    </row>
    <row r="6" spans="1:21" ht="30" customHeight="1" x14ac:dyDescent="0.45">
      <c r="A6" s="16"/>
      <c r="B6" s="33" t="s">
        <v>28</v>
      </c>
      <c r="C6" s="34" t="s">
        <v>29</v>
      </c>
      <c r="D6" s="28">
        <v>2000</v>
      </c>
      <c r="E6" s="35" t="s">
        <v>53</v>
      </c>
      <c r="F6" s="64" t="s">
        <v>21</v>
      </c>
      <c r="G6" s="35">
        <v>16</v>
      </c>
      <c r="H6" s="39">
        <f t="shared" si="0"/>
        <v>125</v>
      </c>
      <c r="I6" s="43"/>
      <c r="J6" s="42"/>
      <c r="K6" s="42"/>
      <c r="L6" s="42"/>
      <c r="M6" s="89" t="s">
        <v>28</v>
      </c>
      <c r="N6" s="90" t="s">
        <v>29</v>
      </c>
      <c r="O6" s="91">
        <f t="shared" si="1"/>
        <v>2250</v>
      </c>
      <c r="P6" s="42"/>
      <c r="Q6" s="42"/>
      <c r="R6" s="42"/>
      <c r="S6" s="42"/>
      <c r="T6" s="42"/>
      <c r="U6" s="16"/>
    </row>
    <row r="7" spans="1:21" ht="30.65" customHeight="1" x14ac:dyDescent="0.45">
      <c r="A7" s="16"/>
      <c r="B7" s="33" t="s">
        <v>32</v>
      </c>
      <c r="C7" s="36" t="s">
        <v>23</v>
      </c>
      <c r="D7" s="28">
        <v>2000</v>
      </c>
      <c r="E7" s="35" t="s">
        <v>53</v>
      </c>
      <c r="F7" s="64" t="s">
        <v>21</v>
      </c>
      <c r="G7" s="35">
        <v>16</v>
      </c>
      <c r="H7" s="39">
        <f t="shared" si="0"/>
        <v>125</v>
      </c>
      <c r="I7" s="43"/>
      <c r="J7" s="42"/>
      <c r="K7" s="42"/>
      <c r="L7" s="42"/>
      <c r="M7" s="89" t="s">
        <v>32</v>
      </c>
      <c r="N7" s="92" t="s">
        <v>23</v>
      </c>
      <c r="O7" s="88">
        <f t="shared" si="1"/>
        <v>1500</v>
      </c>
      <c r="P7" s="42"/>
      <c r="Q7" s="42"/>
      <c r="R7" s="42"/>
      <c r="S7" s="42"/>
      <c r="T7" s="42"/>
      <c r="U7" s="16"/>
    </row>
    <row r="8" spans="1:21" ht="30" customHeight="1" x14ac:dyDescent="0.45">
      <c r="A8" s="16"/>
      <c r="B8" s="33" t="s">
        <v>8</v>
      </c>
      <c r="C8" s="36" t="s">
        <v>22</v>
      </c>
      <c r="D8" s="28">
        <v>2000</v>
      </c>
      <c r="E8" s="35" t="s">
        <v>53</v>
      </c>
      <c r="F8" s="64" t="s">
        <v>21</v>
      </c>
      <c r="G8" s="35">
        <v>16</v>
      </c>
      <c r="H8" s="39">
        <f t="shared" si="0"/>
        <v>125</v>
      </c>
      <c r="I8" s="43"/>
      <c r="J8" s="42"/>
      <c r="K8" s="42"/>
      <c r="L8" s="42"/>
      <c r="M8" s="89" t="s">
        <v>8</v>
      </c>
      <c r="N8" s="92" t="s">
        <v>22</v>
      </c>
      <c r="O8" s="88">
        <f t="shared" si="1"/>
        <v>2000</v>
      </c>
      <c r="P8" s="42"/>
      <c r="Q8" s="42"/>
      <c r="R8" s="42"/>
      <c r="S8" s="42"/>
      <c r="T8" s="42"/>
      <c r="U8" s="16"/>
    </row>
    <row r="9" spans="1:21" ht="30" customHeight="1" x14ac:dyDescent="0.45">
      <c r="A9" s="16"/>
      <c r="B9" s="33" t="s">
        <v>11</v>
      </c>
      <c r="C9" s="36" t="s">
        <v>33</v>
      </c>
      <c r="D9" s="28">
        <v>2000</v>
      </c>
      <c r="E9" s="35" t="s">
        <v>53</v>
      </c>
      <c r="F9" s="64" t="s">
        <v>21</v>
      </c>
      <c r="G9" s="35">
        <v>16</v>
      </c>
      <c r="H9" s="39">
        <f t="shared" si="0"/>
        <v>125</v>
      </c>
      <c r="I9" s="43"/>
      <c r="J9" s="42"/>
      <c r="K9" s="42"/>
      <c r="L9" s="42"/>
      <c r="M9" s="89" t="s">
        <v>11</v>
      </c>
      <c r="N9" s="92" t="s">
        <v>33</v>
      </c>
      <c r="O9" s="88">
        <f t="shared" si="1"/>
        <v>2000</v>
      </c>
      <c r="P9" s="42"/>
      <c r="Q9" s="42"/>
      <c r="R9" s="42"/>
      <c r="S9" s="42"/>
      <c r="T9" s="42"/>
      <c r="U9" s="16"/>
    </row>
    <row r="10" spans="1:21" ht="30" customHeight="1" x14ac:dyDescent="0.45">
      <c r="A10" s="16"/>
      <c r="B10" s="33" t="s">
        <v>12</v>
      </c>
      <c r="C10" s="36" t="s">
        <v>34</v>
      </c>
      <c r="D10" s="28">
        <v>2000</v>
      </c>
      <c r="E10" s="35" t="s">
        <v>53</v>
      </c>
      <c r="F10" s="64" t="s">
        <v>21</v>
      </c>
      <c r="G10" s="35">
        <v>16</v>
      </c>
      <c r="H10" s="39">
        <f t="shared" si="0"/>
        <v>125</v>
      </c>
      <c r="I10" s="43"/>
      <c r="J10" s="42"/>
      <c r="K10" s="42"/>
      <c r="L10" s="42"/>
      <c r="M10" s="89" t="s">
        <v>12</v>
      </c>
      <c r="N10" s="92" t="s">
        <v>34</v>
      </c>
      <c r="O10" s="88">
        <f t="shared" si="1"/>
        <v>2000</v>
      </c>
      <c r="P10" s="42"/>
      <c r="Q10" s="42"/>
      <c r="R10" s="42"/>
      <c r="S10" s="42"/>
      <c r="T10" s="42"/>
      <c r="U10" s="16"/>
    </row>
    <row r="11" spans="1:21" ht="18" customHeight="1" x14ac:dyDescent="0.35">
      <c r="A11" s="16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16"/>
    </row>
    <row r="12" spans="1:21" ht="22.5" x14ac:dyDescent="0.35">
      <c r="A12" s="16"/>
      <c r="B12" s="45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16"/>
    </row>
    <row r="13" spans="1:21" ht="36" customHeight="1" x14ac:dyDescent="0.45">
      <c r="A13" s="16"/>
      <c r="B13" s="46"/>
      <c r="C13" s="46"/>
      <c r="D13" s="42"/>
      <c r="E13" s="42"/>
      <c r="F13" s="42"/>
      <c r="G13" s="42"/>
      <c r="H13" s="42"/>
      <c r="I13" s="42"/>
      <c r="J13" s="42"/>
      <c r="K13" s="42"/>
      <c r="L13" s="42"/>
      <c r="M13" s="129" t="s">
        <v>52</v>
      </c>
      <c r="N13" s="130"/>
      <c r="O13" s="130"/>
      <c r="P13" s="130"/>
      <c r="Q13" s="130"/>
      <c r="R13" s="130"/>
      <c r="S13" s="130"/>
      <c r="T13" s="130"/>
      <c r="U13" s="16"/>
    </row>
    <row r="14" spans="1:21" ht="30" customHeight="1" x14ac:dyDescent="0.35">
      <c r="A14" s="16"/>
      <c r="B14" s="40" t="s">
        <v>26</v>
      </c>
      <c r="C14" s="40" t="s">
        <v>1</v>
      </c>
      <c r="D14" s="40" t="s">
        <v>25</v>
      </c>
      <c r="E14" s="40" t="s">
        <v>35</v>
      </c>
      <c r="F14" s="40" t="s">
        <v>36</v>
      </c>
      <c r="G14" s="60" t="s">
        <v>2</v>
      </c>
      <c r="H14" s="40" t="s">
        <v>38</v>
      </c>
      <c r="I14" s="40" t="s">
        <v>55</v>
      </c>
      <c r="J14" s="42"/>
      <c r="K14" s="42"/>
      <c r="L14" s="42"/>
      <c r="M14" s="40" t="s">
        <v>26</v>
      </c>
      <c r="N14" s="40" t="s">
        <v>35</v>
      </c>
      <c r="O14" s="40" t="s">
        <v>40</v>
      </c>
      <c r="P14" s="40" t="s">
        <v>41</v>
      </c>
      <c r="Q14" s="40" t="s">
        <v>42</v>
      </c>
      <c r="R14" s="40" t="s">
        <v>44</v>
      </c>
      <c r="S14" s="40" t="s">
        <v>43</v>
      </c>
      <c r="T14" s="40" t="s">
        <v>45</v>
      </c>
      <c r="U14" s="16"/>
    </row>
    <row r="15" spans="1:21" ht="29.25" customHeight="1" x14ac:dyDescent="0.45">
      <c r="A15" s="16"/>
      <c r="B15" s="26" t="s">
        <v>3</v>
      </c>
      <c r="C15" s="27" t="s">
        <v>30</v>
      </c>
      <c r="D15" s="28">
        <v>2000</v>
      </c>
      <c r="E15" s="29" t="s">
        <v>37</v>
      </c>
      <c r="F15" s="30">
        <v>46240</v>
      </c>
      <c r="G15" s="31">
        <v>4</v>
      </c>
      <c r="H15" s="32">
        <f>H5*G15</f>
        <v>500</v>
      </c>
      <c r="I15" s="32">
        <f>H15+O22</f>
        <v>500</v>
      </c>
      <c r="J15" s="42"/>
      <c r="K15" s="42"/>
      <c r="L15" s="42"/>
      <c r="M15" s="26" t="s">
        <v>46</v>
      </c>
      <c r="N15" s="47">
        <v>46237</v>
      </c>
      <c r="O15" s="28"/>
      <c r="P15" s="29"/>
      <c r="Q15" s="30"/>
      <c r="R15" s="31"/>
      <c r="S15" s="32"/>
      <c r="T15" s="32"/>
      <c r="U15" s="16"/>
    </row>
    <row r="16" spans="1:21" ht="29.25" customHeight="1" x14ac:dyDescent="0.45">
      <c r="A16" s="16"/>
      <c r="B16" s="33" t="s">
        <v>28</v>
      </c>
      <c r="C16" s="34" t="s">
        <v>29</v>
      </c>
      <c r="D16" s="28">
        <v>2000</v>
      </c>
      <c r="E16" s="35" t="s">
        <v>37</v>
      </c>
      <c r="F16" s="30">
        <v>46240</v>
      </c>
      <c r="G16" s="31">
        <v>4</v>
      </c>
      <c r="H16" s="32">
        <f t="shared" ref="H16:H20" si="2">H6*G16</f>
        <v>500</v>
      </c>
      <c r="I16" s="32">
        <f>H16</f>
        <v>500</v>
      </c>
      <c r="J16" s="42"/>
      <c r="K16" s="42"/>
      <c r="L16" s="42"/>
      <c r="M16" s="33" t="s">
        <v>47</v>
      </c>
      <c r="N16" s="47">
        <v>46238</v>
      </c>
      <c r="O16" s="28"/>
      <c r="P16" s="35"/>
      <c r="Q16" s="30"/>
      <c r="R16" s="31"/>
      <c r="S16" s="32"/>
      <c r="T16" s="32"/>
      <c r="U16" s="16"/>
    </row>
    <row r="17" spans="1:21" ht="29.25" customHeight="1" x14ac:dyDescent="0.45">
      <c r="A17" s="16"/>
      <c r="B17" s="33" t="s">
        <v>32</v>
      </c>
      <c r="C17" s="36" t="s">
        <v>23</v>
      </c>
      <c r="D17" s="28">
        <v>2000</v>
      </c>
      <c r="E17" s="35" t="s">
        <v>37</v>
      </c>
      <c r="F17" s="30">
        <v>46240</v>
      </c>
      <c r="G17" s="31">
        <v>4</v>
      </c>
      <c r="H17" s="32">
        <f t="shared" si="2"/>
        <v>500</v>
      </c>
      <c r="I17" s="32">
        <f>H17</f>
        <v>500</v>
      </c>
      <c r="J17" s="42"/>
      <c r="K17" s="42"/>
      <c r="L17" s="42"/>
      <c r="M17" s="33" t="s">
        <v>48</v>
      </c>
      <c r="N17" s="47">
        <v>46239</v>
      </c>
      <c r="O17" s="28"/>
      <c r="P17" s="35"/>
      <c r="Q17" s="30"/>
      <c r="R17" s="31"/>
      <c r="S17" s="32"/>
      <c r="T17" s="32"/>
      <c r="U17" s="16"/>
    </row>
    <row r="18" spans="1:21" ht="29.25" customHeight="1" x14ac:dyDescent="0.45">
      <c r="A18" s="16"/>
      <c r="B18" s="33" t="s">
        <v>8</v>
      </c>
      <c r="C18" s="36" t="s">
        <v>22</v>
      </c>
      <c r="D18" s="28">
        <v>2000</v>
      </c>
      <c r="E18" s="35" t="s">
        <v>37</v>
      </c>
      <c r="F18" s="30">
        <v>46240</v>
      </c>
      <c r="G18" s="31">
        <v>4</v>
      </c>
      <c r="H18" s="32">
        <f t="shared" si="2"/>
        <v>500</v>
      </c>
      <c r="I18" s="32">
        <f>H18</f>
        <v>500</v>
      </c>
      <c r="J18" s="42"/>
      <c r="K18" s="42"/>
      <c r="L18" s="42"/>
      <c r="M18" s="33" t="s">
        <v>37</v>
      </c>
      <c r="N18" s="47">
        <v>46240</v>
      </c>
      <c r="O18" s="53"/>
      <c r="P18" s="54"/>
      <c r="Q18" s="55"/>
      <c r="R18" s="56"/>
      <c r="S18" s="57"/>
      <c r="T18" s="57"/>
      <c r="U18" s="16"/>
    </row>
    <row r="19" spans="1:21" ht="29.25" customHeight="1" x14ac:dyDescent="0.45">
      <c r="A19" s="16"/>
      <c r="B19" s="33" t="s">
        <v>11</v>
      </c>
      <c r="C19" s="36" t="s">
        <v>33</v>
      </c>
      <c r="D19" s="28">
        <v>2000</v>
      </c>
      <c r="E19" s="35" t="s">
        <v>37</v>
      </c>
      <c r="F19" s="30">
        <v>46240</v>
      </c>
      <c r="G19" s="31">
        <v>4</v>
      </c>
      <c r="H19" s="32">
        <f t="shared" si="2"/>
        <v>500</v>
      </c>
      <c r="I19" s="32">
        <f>H19</f>
        <v>500</v>
      </c>
      <c r="J19" s="42"/>
      <c r="K19" s="42"/>
      <c r="L19" s="42"/>
      <c r="M19" s="33" t="s">
        <v>49</v>
      </c>
      <c r="N19" s="47">
        <v>46241</v>
      </c>
      <c r="O19" s="28"/>
      <c r="P19" s="35"/>
      <c r="Q19" s="30"/>
      <c r="R19" s="31"/>
      <c r="S19" s="32"/>
      <c r="T19" s="32"/>
      <c r="U19" s="16"/>
    </row>
    <row r="20" spans="1:21" ht="29.25" customHeight="1" x14ac:dyDescent="0.45">
      <c r="A20" s="16"/>
      <c r="B20" s="33" t="s">
        <v>12</v>
      </c>
      <c r="C20" s="36" t="s">
        <v>34</v>
      </c>
      <c r="D20" s="28">
        <v>2000</v>
      </c>
      <c r="E20" s="35" t="s">
        <v>37</v>
      </c>
      <c r="F20" s="30">
        <v>46240</v>
      </c>
      <c r="G20" s="29">
        <v>4</v>
      </c>
      <c r="H20" s="32">
        <f t="shared" si="2"/>
        <v>500</v>
      </c>
      <c r="I20" s="32">
        <f>H20</f>
        <v>500</v>
      </c>
      <c r="J20" s="42"/>
      <c r="K20" s="42"/>
      <c r="L20" s="42"/>
      <c r="M20" s="33" t="s">
        <v>50</v>
      </c>
      <c r="N20" s="47">
        <v>46242</v>
      </c>
      <c r="O20" s="28"/>
      <c r="P20" s="35"/>
      <c r="Q20" s="30"/>
      <c r="R20" s="37"/>
      <c r="S20" s="32"/>
      <c r="T20" s="32"/>
      <c r="U20" s="16"/>
    </row>
    <row r="21" spans="1:21" ht="29.25" customHeight="1" x14ac:dyDescent="0.35">
      <c r="A21" s="16"/>
      <c r="B21" s="58"/>
      <c r="C21" s="58"/>
      <c r="D21" s="59"/>
      <c r="E21" s="58"/>
      <c r="F21" s="58"/>
      <c r="G21" s="93"/>
      <c r="H21" s="58"/>
      <c r="I21" s="58"/>
      <c r="J21" s="42"/>
      <c r="K21" s="42"/>
      <c r="L21" s="42"/>
      <c r="M21" s="36" t="s">
        <v>51</v>
      </c>
      <c r="N21" s="47">
        <v>46243</v>
      </c>
      <c r="O21" s="35"/>
      <c r="P21" s="35"/>
      <c r="Q21" s="35"/>
      <c r="R21" s="35"/>
      <c r="S21" s="35"/>
      <c r="T21" s="35"/>
      <c r="U21" s="16"/>
    </row>
    <row r="22" spans="1:21" ht="27.75" customHeight="1" x14ac:dyDescent="0.45">
      <c r="A22" s="16"/>
      <c r="B22" s="26" t="s">
        <v>3</v>
      </c>
      <c r="C22" s="27" t="s">
        <v>30</v>
      </c>
      <c r="D22" s="28">
        <v>2000</v>
      </c>
      <c r="E22" s="29" t="s">
        <v>37</v>
      </c>
      <c r="F22" s="30">
        <v>46247</v>
      </c>
      <c r="G22" s="31">
        <v>4</v>
      </c>
      <c r="H22" s="32">
        <f t="shared" ref="H22:H27" si="3">G22*H5</f>
        <v>500</v>
      </c>
      <c r="I22" s="32">
        <f>H22+O29</f>
        <v>500</v>
      </c>
      <c r="J22" s="42"/>
      <c r="K22" s="42"/>
      <c r="L22" s="42"/>
      <c r="M22" s="49" t="s">
        <v>39</v>
      </c>
      <c r="N22" s="40"/>
      <c r="O22" s="50">
        <f>H5*O18</f>
        <v>0</v>
      </c>
      <c r="P22" s="50">
        <f>H6*P19</f>
        <v>0</v>
      </c>
      <c r="Q22" s="50">
        <f>H5*Q18</f>
        <v>0</v>
      </c>
      <c r="R22" s="50">
        <f>H8*R18</f>
        <v>0</v>
      </c>
      <c r="S22" s="50">
        <f>H9*S18</f>
        <v>0</v>
      </c>
      <c r="T22" s="50">
        <f>H10*T18</f>
        <v>0</v>
      </c>
      <c r="U22" s="16"/>
    </row>
    <row r="23" spans="1:21" ht="29.25" customHeight="1" x14ac:dyDescent="0.45">
      <c r="A23" s="16"/>
      <c r="B23" s="33" t="s">
        <v>28</v>
      </c>
      <c r="C23" s="34" t="s">
        <v>29</v>
      </c>
      <c r="D23" s="28">
        <v>2000</v>
      </c>
      <c r="E23" s="35" t="s">
        <v>37</v>
      </c>
      <c r="F23" s="30">
        <v>46247</v>
      </c>
      <c r="G23" s="31">
        <v>4</v>
      </c>
      <c r="H23" s="32">
        <f t="shared" si="3"/>
        <v>500</v>
      </c>
      <c r="I23" s="32">
        <f>H23+P30</f>
        <v>750</v>
      </c>
      <c r="J23" s="42"/>
      <c r="K23" s="42"/>
      <c r="L23" s="42"/>
      <c r="M23" s="26" t="s">
        <v>46</v>
      </c>
      <c r="N23" s="30">
        <v>46244</v>
      </c>
      <c r="O23" s="28"/>
      <c r="P23" s="29"/>
      <c r="Q23" s="30"/>
      <c r="R23" s="31"/>
      <c r="S23" s="32"/>
      <c r="T23" s="32"/>
      <c r="U23" s="16"/>
    </row>
    <row r="24" spans="1:21" ht="29.25" customHeight="1" x14ac:dyDescent="0.45">
      <c r="A24" s="16"/>
      <c r="B24" s="33" t="s">
        <v>32</v>
      </c>
      <c r="C24" s="36" t="s">
        <v>23</v>
      </c>
      <c r="D24" s="28">
        <v>2000</v>
      </c>
      <c r="E24" s="35" t="s">
        <v>37</v>
      </c>
      <c r="F24" s="30">
        <v>46247</v>
      </c>
      <c r="G24" s="31">
        <v>4</v>
      </c>
      <c r="H24" s="32">
        <f t="shared" si="3"/>
        <v>500</v>
      </c>
      <c r="I24" s="32">
        <f>H24</f>
        <v>500</v>
      </c>
      <c r="J24" s="42"/>
      <c r="K24" s="42"/>
      <c r="L24" s="42"/>
      <c r="M24" s="33" t="s">
        <v>47</v>
      </c>
      <c r="N24" s="47">
        <v>46245</v>
      </c>
      <c r="O24" s="28"/>
      <c r="P24" s="35"/>
      <c r="Q24" s="30"/>
      <c r="R24" s="31"/>
      <c r="S24" s="32"/>
      <c r="T24" s="32"/>
      <c r="U24" s="16"/>
    </row>
    <row r="25" spans="1:21" ht="29.25" customHeight="1" x14ac:dyDescent="0.45">
      <c r="A25" s="16"/>
      <c r="B25" s="33" t="s">
        <v>8</v>
      </c>
      <c r="C25" s="36" t="s">
        <v>22</v>
      </c>
      <c r="D25" s="28">
        <v>2000</v>
      </c>
      <c r="E25" s="35" t="s">
        <v>37</v>
      </c>
      <c r="F25" s="30">
        <v>46247</v>
      </c>
      <c r="G25" s="31">
        <v>4</v>
      </c>
      <c r="H25" s="32">
        <f t="shared" si="3"/>
        <v>500</v>
      </c>
      <c r="I25" s="32">
        <f>H25</f>
        <v>500</v>
      </c>
      <c r="J25" s="42"/>
      <c r="K25" s="42"/>
      <c r="L25" s="42"/>
      <c r="M25" s="33" t="s">
        <v>48</v>
      </c>
      <c r="N25" s="47">
        <v>46246</v>
      </c>
      <c r="O25" s="28"/>
      <c r="P25" s="35"/>
      <c r="Q25" s="30"/>
      <c r="R25" s="31"/>
      <c r="S25" s="32"/>
      <c r="T25" s="32"/>
      <c r="U25" s="16"/>
    </row>
    <row r="26" spans="1:21" ht="29.25" customHeight="1" x14ac:dyDescent="0.45">
      <c r="A26" s="16"/>
      <c r="B26" s="33" t="s">
        <v>11</v>
      </c>
      <c r="C26" s="36" t="s">
        <v>33</v>
      </c>
      <c r="D26" s="28">
        <v>2000</v>
      </c>
      <c r="E26" s="35" t="s">
        <v>37</v>
      </c>
      <c r="F26" s="30">
        <v>46247</v>
      </c>
      <c r="G26" s="31">
        <v>4</v>
      </c>
      <c r="H26" s="32">
        <f t="shared" si="3"/>
        <v>500</v>
      </c>
      <c r="I26" s="32">
        <f>H26</f>
        <v>500</v>
      </c>
      <c r="J26" s="42"/>
      <c r="K26" s="42"/>
      <c r="L26" s="42"/>
      <c r="M26" s="33" t="s">
        <v>37</v>
      </c>
      <c r="N26" s="47">
        <v>46247</v>
      </c>
      <c r="O26" s="53"/>
      <c r="P26" s="54"/>
      <c r="Q26" s="55"/>
      <c r="R26" s="56"/>
      <c r="S26" s="57"/>
      <c r="T26" s="57"/>
      <c r="U26" s="16"/>
    </row>
    <row r="27" spans="1:21" ht="29.25" customHeight="1" x14ac:dyDescent="0.45">
      <c r="A27" s="16"/>
      <c r="B27" s="33" t="s">
        <v>12</v>
      </c>
      <c r="C27" s="36" t="s">
        <v>34</v>
      </c>
      <c r="D27" s="28">
        <v>2000</v>
      </c>
      <c r="E27" s="35" t="s">
        <v>37</v>
      </c>
      <c r="F27" s="30">
        <v>46247</v>
      </c>
      <c r="G27" s="29">
        <v>4</v>
      </c>
      <c r="H27" s="32">
        <f t="shared" si="3"/>
        <v>500</v>
      </c>
      <c r="I27" s="32">
        <f>H27</f>
        <v>500</v>
      </c>
      <c r="J27" s="42"/>
      <c r="K27" s="42"/>
      <c r="L27" s="42"/>
      <c r="M27" s="33" t="s">
        <v>49</v>
      </c>
      <c r="N27" s="47">
        <v>46248</v>
      </c>
      <c r="O27" s="28"/>
      <c r="P27" s="35">
        <v>2</v>
      </c>
      <c r="Q27" s="30"/>
      <c r="R27" s="31"/>
      <c r="S27" s="32"/>
      <c r="T27" s="32"/>
      <c r="U27" s="16"/>
    </row>
    <row r="28" spans="1:21" ht="29.25" customHeight="1" x14ac:dyDescent="0.45">
      <c r="A28" s="16"/>
      <c r="B28" s="58"/>
      <c r="C28" s="58"/>
      <c r="D28" s="59"/>
      <c r="E28" s="58"/>
      <c r="F28" s="58"/>
      <c r="G28" s="93"/>
      <c r="H28" s="58"/>
      <c r="I28" s="58"/>
      <c r="J28" s="42"/>
      <c r="K28" s="42"/>
      <c r="L28" s="42"/>
      <c r="M28" s="33" t="s">
        <v>50</v>
      </c>
      <c r="N28" s="47">
        <v>46249</v>
      </c>
      <c r="O28" s="28"/>
      <c r="P28" s="35"/>
      <c r="Q28" s="30"/>
      <c r="R28" s="37"/>
      <c r="S28" s="32"/>
      <c r="T28" s="32"/>
      <c r="U28" s="16"/>
    </row>
    <row r="29" spans="1:21" ht="29.25" customHeight="1" x14ac:dyDescent="0.45">
      <c r="A29" s="16"/>
      <c r="B29" s="26" t="s">
        <v>3</v>
      </c>
      <c r="C29" s="27" t="s">
        <v>30</v>
      </c>
      <c r="D29" s="28">
        <v>2000</v>
      </c>
      <c r="E29" s="29" t="s">
        <v>37</v>
      </c>
      <c r="F29" s="30">
        <v>46254</v>
      </c>
      <c r="G29" s="31">
        <v>4</v>
      </c>
      <c r="H29" s="38">
        <f t="shared" ref="H29:H34" si="4">G29*H5</f>
        <v>500</v>
      </c>
      <c r="I29" s="38">
        <f>H29+O38</f>
        <v>875</v>
      </c>
      <c r="J29" s="42"/>
      <c r="K29" s="42"/>
      <c r="L29" s="42"/>
      <c r="M29" s="36" t="s">
        <v>51</v>
      </c>
      <c r="N29" s="47">
        <v>46250</v>
      </c>
      <c r="O29" s="35"/>
      <c r="P29" s="35"/>
      <c r="Q29" s="35"/>
      <c r="R29" s="35"/>
      <c r="S29" s="35"/>
      <c r="T29" s="35"/>
      <c r="U29" s="16"/>
    </row>
    <row r="30" spans="1:21" ht="27.75" customHeight="1" x14ac:dyDescent="0.45">
      <c r="A30" s="16"/>
      <c r="B30" s="33" t="s">
        <v>28</v>
      </c>
      <c r="C30" s="34" t="s">
        <v>29</v>
      </c>
      <c r="D30" s="28">
        <v>2000</v>
      </c>
      <c r="E30" s="35" t="s">
        <v>37</v>
      </c>
      <c r="F30" s="30">
        <v>46254</v>
      </c>
      <c r="G30" s="31">
        <v>4</v>
      </c>
      <c r="H30" s="38">
        <f t="shared" si="4"/>
        <v>500</v>
      </c>
      <c r="I30" s="38">
        <f>H30</f>
        <v>500</v>
      </c>
      <c r="J30" s="42"/>
      <c r="K30" s="42"/>
      <c r="L30" s="42"/>
      <c r="M30" s="49" t="s">
        <v>39</v>
      </c>
      <c r="N30" s="40"/>
      <c r="O30" s="50">
        <f>H13*O26</f>
        <v>0</v>
      </c>
      <c r="P30" s="85">
        <f>H6*P27</f>
        <v>250</v>
      </c>
      <c r="Q30" s="50">
        <f>H13*Q26</f>
        <v>0</v>
      </c>
      <c r="R30" s="50">
        <f>H16*R26</f>
        <v>0</v>
      </c>
      <c r="S30" s="50">
        <f>H17*S26</f>
        <v>0</v>
      </c>
      <c r="T30" s="50">
        <f>H18*T26</f>
        <v>0</v>
      </c>
      <c r="U30" s="16"/>
    </row>
    <row r="31" spans="1:21" ht="29.25" customHeight="1" x14ac:dyDescent="0.45">
      <c r="A31" s="16"/>
      <c r="B31" s="33" t="s">
        <v>32</v>
      </c>
      <c r="C31" s="36" t="s">
        <v>23</v>
      </c>
      <c r="D31" s="28">
        <v>2000</v>
      </c>
      <c r="E31" s="35" t="s">
        <v>37</v>
      </c>
      <c r="F31" s="30">
        <v>46254</v>
      </c>
      <c r="G31" s="31">
        <v>0</v>
      </c>
      <c r="H31" s="38">
        <f t="shared" si="4"/>
        <v>0</v>
      </c>
      <c r="I31" s="38">
        <f>H31+Q37</f>
        <v>0</v>
      </c>
      <c r="J31" s="42"/>
      <c r="K31" s="42"/>
      <c r="L31" s="42"/>
      <c r="M31" s="26" t="s">
        <v>46</v>
      </c>
      <c r="N31" s="47">
        <v>46251</v>
      </c>
      <c r="O31" s="35"/>
      <c r="P31" s="35"/>
      <c r="Q31" s="35"/>
      <c r="R31" s="35"/>
      <c r="S31" s="35"/>
      <c r="T31" s="35"/>
      <c r="U31" s="16"/>
    </row>
    <row r="32" spans="1:21" ht="29.25" customHeight="1" x14ac:dyDescent="0.45">
      <c r="A32" s="16"/>
      <c r="B32" s="33" t="s">
        <v>8</v>
      </c>
      <c r="C32" s="36" t="s">
        <v>22</v>
      </c>
      <c r="D32" s="28">
        <v>2000</v>
      </c>
      <c r="E32" s="35" t="s">
        <v>37</v>
      </c>
      <c r="F32" s="30">
        <v>46254</v>
      </c>
      <c r="G32" s="31">
        <v>4</v>
      </c>
      <c r="H32" s="38">
        <f t="shared" si="4"/>
        <v>500</v>
      </c>
      <c r="I32" s="38">
        <f>H32</f>
        <v>500</v>
      </c>
      <c r="J32" s="42"/>
      <c r="K32" s="42"/>
      <c r="L32" s="42"/>
      <c r="M32" s="33" t="s">
        <v>47</v>
      </c>
      <c r="N32" s="47">
        <v>46252</v>
      </c>
      <c r="O32" s="35"/>
      <c r="P32" s="35"/>
      <c r="Q32" s="35"/>
      <c r="R32" s="35"/>
      <c r="S32" s="35">
        <v>4</v>
      </c>
      <c r="T32" s="35"/>
      <c r="U32" s="16"/>
    </row>
    <row r="33" spans="1:21" ht="29.25" customHeight="1" x14ac:dyDescent="0.45">
      <c r="A33" s="16"/>
      <c r="B33" s="33" t="s">
        <v>11</v>
      </c>
      <c r="C33" s="36" t="s">
        <v>33</v>
      </c>
      <c r="D33" s="28">
        <v>2000</v>
      </c>
      <c r="E33" s="35" t="s">
        <v>37</v>
      </c>
      <c r="F33" s="30">
        <v>46254</v>
      </c>
      <c r="G33" s="31">
        <v>0</v>
      </c>
      <c r="H33" s="38">
        <f t="shared" si="4"/>
        <v>0</v>
      </c>
      <c r="I33" s="38">
        <f>H33+S38</f>
        <v>500</v>
      </c>
      <c r="J33" s="42"/>
      <c r="K33" s="42"/>
      <c r="L33" s="42"/>
      <c r="M33" s="33" t="s">
        <v>48</v>
      </c>
      <c r="N33" s="47">
        <v>46253</v>
      </c>
      <c r="O33" s="35">
        <v>1</v>
      </c>
      <c r="P33" s="35"/>
      <c r="Q33" s="35"/>
      <c r="R33" s="35"/>
      <c r="S33" s="35"/>
      <c r="T33" s="35"/>
      <c r="U33" s="16"/>
    </row>
    <row r="34" spans="1:21" ht="29.25" customHeight="1" x14ac:dyDescent="0.35">
      <c r="A34" s="16"/>
      <c r="B34" s="33" t="s">
        <v>12</v>
      </c>
      <c r="C34" s="36" t="s">
        <v>34</v>
      </c>
      <c r="D34" s="28">
        <v>2000</v>
      </c>
      <c r="E34" s="35" t="s">
        <v>37</v>
      </c>
      <c r="F34" s="30">
        <v>46254</v>
      </c>
      <c r="G34" s="29">
        <v>4</v>
      </c>
      <c r="H34" s="38">
        <f t="shared" si="4"/>
        <v>500</v>
      </c>
      <c r="I34" s="38">
        <f>H34</f>
        <v>500</v>
      </c>
      <c r="J34" s="42"/>
      <c r="K34" s="42"/>
      <c r="L34" s="42"/>
      <c r="M34" s="33" t="s">
        <v>37</v>
      </c>
      <c r="N34" s="47">
        <v>46254</v>
      </c>
      <c r="O34" s="54"/>
      <c r="P34" s="54"/>
      <c r="Q34" s="54"/>
      <c r="R34" s="54"/>
      <c r="S34" s="54"/>
      <c r="T34" s="54"/>
      <c r="U34" s="16"/>
    </row>
    <row r="35" spans="1:21" ht="29.25" customHeight="1" x14ac:dyDescent="0.35">
      <c r="A35" s="16"/>
      <c r="B35" s="58"/>
      <c r="C35" s="58"/>
      <c r="D35" s="59"/>
      <c r="E35" s="58"/>
      <c r="F35" s="58"/>
      <c r="G35" s="93"/>
      <c r="H35" s="48"/>
      <c r="I35" s="48"/>
      <c r="J35" s="42"/>
      <c r="K35" s="42"/>
      <c r="L35" s="42"/>
      <c r="M35" s="33" t="s">
        <v>49</v>
      </c>
      <c r="N35" s="47">
        <v>46255</v>
      </c>
      <c r="O35" s="35"/>
      <c r="P35" s="35"/>
      <c r="Q35" s="35"/>
      <c r="R35" s="35"/>
      <c r="S35" s="35"/>
      <c r="T35" s="35"/>
      <c r="U35" s="16"/>
    </row>
    <row r="36" spans="1:21" ht="28.5" customHeight="1" x14ac:dyDescent="0.45">
      <c r="A36" s="16"/>
      <c r="B36" s="26" t="s">
        <v>3</v>
      </c>
      <c r="C36" s="27" t="s">
        <v>30</v>
      </c>
      <c r="D36" s="28">
        <v>2000</v>
      </c>
      <c r="E36" s="29" t="s">
        <v>37</v>
      </c>
      <c r="F36" s="30">
        <v>46261</v>
      </c>
      <c r="G36" s="31">
        <v>4</v>
      </c>
      <c r="H36" s="38">
        <f t="shared" ref="H36:H41" si="5">G36*H5</f>
        <v>500</v>
      </c>
      <c r="I36" s="38">
        <f>H36+O46</f>
        <v>1375</v>
      </c>
      <c r="J36" s="42"/>
      <c r="K36" s="42"/>
      <c r="L36" s="42"/>
      <c r="M36" s="33" t="s">
        <v>50</v>
      </c>
      <c r="N36" s="47">
        <v>46256</v>
      </c>
      <c r="O36" s="35"/>
      <c r="P36" s="35"/>
      <c r="Q36" s="35"/>
      <c r="R36" s="35"/>
      <c r="S36" s="35"/>
      <c r="T36" s="35"/>
      <c r="U36" s="16"/>
    </row>
    <row r="37" spans="1:21" ht="29.25" customHeight="1" x14ac:dyDescent="0.45">
      <c r="A37" s="16"/>
      <c r="B37" s="33" t="s">
        <v>28</v>
      </c>
      <c r="C37" s="34" t="s">
        <v>29</v>
      </c>
      <c r="D37" s="28">
        <v>2000</v>
      </c>
      <c r="E37" s="35" t="s">
        <v>37</v>
      </c>
      <c r="F37" s="30">
        <v>46261</v>
      </c>
      <c r="G37" s="31">
        <v>4</v>
      </c>
      <c r="H37" s="38">
        <f t="shared" si="5"/>
        <v>500</v>
      </c>
      <c r="I37" s="38">
        <f>H37</f>
        <v>500</v>
      </c>
      <c r="J37" s="42"/>
      <c r="K37" s="42"/>
      <c r="L37" s="42"/>
      <c r="M37" s="36" t="s">
        <v>51</v>
      </c>
      <c r="N37" s="47">
        <v>46257</v>
      </c>
      <c r="O37" s="35">
        <v>2</v>
      </c>
      <c r="P37" s="35"/>
      <c r="Q37" s="35"/>
      <c r="R37" s="35"/>
      <c r="S37" s="35"/>
      <c r="T37" s="35"/>
      <c r="U37" s="16"/>
    </row>
    <row r="38" spans="1:21" ht="28.5" customHeight="1" x14ac:dyDescent="0.45">
      <c r="A38" s="16"/>
      <c r="B38" s="33" t="s">
        <v>32</v>
      </c>
      <c r="C38" s="36" t="s">
        <v>23</v>
      </c>
      <c r="D38" s="28">
        <v>2000</v>
      </c>
      <c r="E38" s="35" t="s">
        <v>37</v>
      </c>
      <c r="F38" s="30">
        <v>46261</v>
      </c>
      <c r="G38" s="31">
        <v>4</v>
      </c>
      <c r="H38" s="38">
        <f t="shared" si="5"/>
        <v>500</v>
      </c>
      <c r="I38" s="38">
        <f>H38</f>
        <v>500</v>
      </c>
      <c r="J38" s="42"/>
      <c r="K38" s="42"/>
      <c r="L38" s="42"/>
      <c r="M38" s="51" t="s">
        <v>39</v>
      </c>
      <c r="N38" s="40"/>
      <c r="O38" s="85">
        <f>O37*H5+H5*O33</f>
        <v>375</v>
      </c>
      <c r="P38" s="52">
        <v>0</v>
      </c>
      <c r="Q38" s="52">
        <v>0</v>
      </c>
      <c r="R38" s="52">
        <v>0</v>
      </c>
      <c r="S38" s="85">
        <f>S32*H9</f>
        <v>500</v>
      </c>
      <c r="T38" s="50">
        <f>H18*T34</f>
        <v>0</v>
      </c>
      <c r="U38" s="16"/>
    </row>
    <row r="39" spans="1:21" ht="28.5" customHeight="1" x14ac:dyDescent="0.45">
      <c r="A39" s="16"/>
      <c r="B39" s="33" t="s">
        <v>8</v>
      </c>
      <c r="C39" s="36" t="s">
        <v>22</v>
      </c>
      <c r="D39" s="28">
        <v>2000</v>
      </c>
      <c r="E39" s="35" t="s">
        <v>37</v>
      </c>
      <c r="F39" s="30">
        <v>46261</v>
      </c>
      <c r="G39" s="31">
        <v>4</v>
      </c>
      <c r="H39" s="38">
        <f t="shared" si="5"/>
        <v>500</v>
      </c>
      <c r="I39" s="38">
        <f>H39</f>
        <v>500</v>
      </c>
      <c r="J39" s="16"/>
      <c r="K39" s="16"/>
      <c r="L39" s="16"/>
      <c r="M39" s="26" t="s">
        <v>46</v>
      </c>
      <c r="N39" s="47">
        <v>46258</v>
      </c>
      <c r="O39" s="35"/>
      <c r="P39" s="35"/>
      <c r="Q39" s="35"/>
      <c r="R39" s="35"/>
      <c r="S39" s="35"/>
      <c r="T39" s="35"/>
      <c r="U39" s="16"/>
    </row>
    <row r="40" spans="1:21" ht="28.5" customHeight="1" x14ac:dyDescent="0.45">
      <c r="A40" s="16"/>
      <c r="B40" s="33" t="s">
        <v>11</v>
      </c>
      <c r="C40" s="36" t="s">
        <v>33</v>
      </c>
      <c r="D40" s="28">
        <v>2000</v>
      </c>
      <c r="E40" s="35" t="s">
        <v>37</v>
      </c>
      <c r="F40" s="30">
        <v>46261</v>
      </c>
      <c r="G40" s="31">
        <v>4</v>
      </c>
      <c r="H40" s="38">
        <f t="shared" si="5"/>
        <v>500</v>
      </c>
      <c r="I40" s="38">
        <f>H40</f>
        <v>500</v>
      </c>
      <c r="J40" s="16"/>
      <c r="K40" s="16"/>
      <c r="L40" s="16"/>
      <c r="M40" s="33" t="s">
        <v>47</v>
      </c>
      <c r="N40" s="47">
        <v>46259</v>
      </c>
      <c r="O40" s="35"/>
      <c r="P40" s="35"/>
      <c r="Q40" s="35"/>
      <c r="R40" s="35"/>
      <c r="S40" s="35"/>
      <c r="T40" s="35"/>
      <c r="U40" s="16"/>
    </row>
    <row r="41" spans="1:21" ht="28.5" customHeight="1" x14ac:dyDescent="0.35">
      <c r="A41" s="16"/>
      <c r="B41" s="33" t="s">
        <v>12</v>
      </c>
      <c r="C41" s="36" t="s">
        <v>34</v>
      </c>
      <c r="D41" s="28">
        <v>2000</v>
      </c>
      <c r="E41" s="35" t="s">
        <v>37</v>
      </c>
      <c r="F41" s="30">
        <v>46261</v>
      </c>
      <c r="G41" s="29">
        <v>4</v>
      </c>
      <c r="H41" s="38">
        <f t="shared" si="5"/>
        <v>500</v>
      </c>
      <c r="I41" s="38">
        <f>H41</f>
        <v>500</v>
      </c>
      <c r="J41" s="16"/>
      <c r="K41" s="16"/>
      <c r="L41" s="16"/>
      <c r="M41" s="33" t="s">
        <v>48</v>
      </c>
      <c r="N41" s="47">
        <v>46260</v>
      </c>
      <c r="O41" s="35">
        <v>3</v>
      </c>
      <c r="P41" s="35"/>
      <c r="Q41" s="35"/>
      <c r="R41" s="35"/>
      <c r="S41" s="35"/>
      <c r="T41" s="35"/>
      <c r="U41" s="16"/>
    </row>
    <row r="42" spans="1:21" ht="28.5" customHeight="1" x14ac:dyDescent="0.35">
      <c r="A42" s="16"/>
      <c r="B42" s="65"/>
      <c r="C42" s="65"/>
      <c r="D42" s="66"/>
      <c r="E42" s="65"/>
      <c r="F42" s="65"/>
      <c r="G42" s="65"/>
      <c r="H42" s="67"/>
      <c r="I42" s="67"/>
      <c r="J42" s="16"/>
      <c r="K42" s="16"/>
      <c r="L42" s="16"/>
      <c r="M42" s="33" t="s">
        <v>37</v>
      </c>
      <c r="N42" s="47">
        <v>46261</v>
      </c>
      <c r="O42" s="54"/>
      <c r="P42" s="54"/>
      <c r="Q42" s="54"/>
      <c r="R42" s="54"/>
      <c r="S42" s="54"/>
      <c r="T42" s="54"/>
      <c r="U42" s="16"/>
    </row>
    <row r="43" spans="1:21" ht="28.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33" t="s">
        <v>49</v>
      </c>
      <c r="N43" s="47">
        <v>46262</v>
      </c>
      <c r="O43" s="35">
        <v>2</v>
      </c>
      <c r="P43" s="35"/>
      <c r="Q43" s="35"/>
      <c r="R43" s="35"/>
      <c r="S43" s="35"/>
      <c r="T43" s="35"/>
      <c r="U43" s="16"/>
    </row>
    <row r="44" spans="1:21" ht="28.5" customHeight="1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33" t="s">
        <v>50</v>
      </c>
      <c r="N44" s="47">
        <v>46263</v>
      </c>
      <c r="O44" s="35"/>
      <c r="P44" s="35"/>
      <c r="Q44" s="35"/>
      <c r="R44" s="35"/>
      <c r="S44" s="35"/>
      <c r="T44" s="35"/>
      <c r="U44" s="16"/>
    </row>
    <row r="45" spans="1:21" ht="28.5" customHeight="1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36" t="s">
        <v>51</v>
      </c>
      <c r="N45" s="47">
        <v>46264</v>
      </c>
      <c r="O45" s="35">
        <v>2</v>
      </c>
      <c r="P45" s="35"/>
      <c r="Q45" s="35"/>
      <c r="R45" s="35"/>
      <c r="S45" s="35"/>
      <c r="T45" s="35"/>
      <c r="U45" s="16"/>
    </row>
    <row r="46" spans="1:21" ht="28.5" customHeight="1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51" t="s">
        <v>39</v>
      </c>
      <c r="N46" s="40"/>
      <c r="O46" s="85">
        <f>O45*H5+H5*O43+O41*H5</f>
        <v>875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16"/>
    </row>
    <row r="47" spans="1:21" ht="28.5" customHeight="1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28.5" customHeight="1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8" customHeight="1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</sheetData>
  <mergeCells count="3">
    <mergeCell ref="B1:G1"/>
    <mergeCell ref="M13:T13"/>
    <mergeCell ref="M4:O4"/>
  </mergeCells>
  <dataValidations count="1">
    <dataValidation allowBlank="1" showInputMessage="1" showErrorMessage="1" promptTitle="Registro das tarefas de casa" prompt="Ajude os alunos a se tornarem mais organizados com esse registro para tarefa de casa, pronto para impressão, para acompanhar as tarefas. _x000a__x000a_" sqref="A1" xr:uid="{B5404068-5850-40D1-8814-91A94A5FB805}"/>
  </dataValidations>
  <printOptions horizontalCentered="1"/>
  <pageMargins left="0.25" right="0.25" top="0.5" bottom="0.5" header="0.3" footer="0.3"/>
  <pageSetup paperSize="9" scale="4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E980-7403-4A99-965A-EA1ED6AEF42F}">
  <sheetPr>
    <pageSetUpPr fitToPage="1"/>
  </sheetPr>
  <dimension ref="A1:U49"/>
  <sheetViews>
    <sheetView showGridLines="0" topLeftCell="A5" zoomScale="25" zoomScaleNormal="25" workbookViewId="0">
      <selection activeCell="J36" sqref="J36"/>
    </sheetView>
  </sheetViews>
  <sheetFormatPr defaultColWidth="9.08203125" defaultRowHeight="18" customHeight="1" x14ac:dyDescent="0.35"/>
  <cols>
    <col min="1" max="1" width="4" style="2" customWidth="1"/>
    <col min="2" max="2" width="30.6640625" style="2" customWidth="1"/>
    <col min="3" max="3" width="48.4140625" style="2" customWidth="1"/>
    <col min="4" max="4" width="31.75" style="2" customWidth="1"/>
    <col min="5" max="5" width="33" style="2" customWidth="1"/>
    <col min="6" max="6" width="30.6640625" style="2" customWidth="1"/>
    <col min="7" max="7" width="36" style="2" customWidth="1"/>
    <col min="8" max="8" width="40" style="2" customWidth="1"/>
    <col min="9" max="9" width="36.9140625" style="2" customWidth="1"/>
    <col min="10" max="10" width="9.08203125" style="2" customWidth="1"/>
    <col min="11" max="12" width="9.08203125" style="2"/>
    <col min="13" max="13" width="33" style="2" customWidth="1"/>
    <col min="14" max="14" width="48.75" style="2" customWidth="1"/>
    <col min="15" max="15" width="27.25" style="2" customWidth="1"/>
    <col min="16" max="16" width="25.4140625" style="2" customWidth="1"/>
    <col min="17" max="20" width="24.4140625" style="2" customWidth="1"/>
    <col min="21" max="16384" width="9.08203125" style="2"/>
  </cols>
  <sheetData>
    <row r="1" spans="1:21" s="1" customFormat="1" ht="73.5" customHeight="1" thickBot="1" x14ac:dyDescent="0.4">
      <c r="A1" s="24"/>
      <c r="B1" s="127" t="s">
        <v>85</v>
      </c>
      <c r="C1" s="128"/>
      <c r="D1" s="128"/>
      <c r="E1" s="128"/>
      <c r="F1" s="128"/>
      <c r="G1" s="128"/>
      <c r="H1" s="14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23" x14ac:dyDescent="0.35">
      <c r="A2" s="16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30.65" customHeight="1" x14ac:dyDescent="0.5">
      <c r="A3" s="16"/>
      <c r="B3" s="17"/>
      <c r="C3" s="18"/>
      <c r="D3" s="19"/>
      <c r="E3" s="20"/>
      <c r="F3" s="21"/>
      <c r="G3" s="22"/>
      <c r="H3" s="23"/>
      <c r="I3" s="23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30.65" customHeight="1" x14ac:dyDescent="0.35">
      <c r="A4" s="16"/>
      <c r="B4" s="40" t="s">
        <v>26</v>
      </c>
      <c r="C4" s="40" t="s">
        <v>1</v>
      </c>
      <c r="D4" s="40" t="s">
        <v>25</v>
      </c>
      <c r="E4" s="40" t="s">
        <v>54</v>
      </c>
      <c r="F4" s="40" t="s">
        <v>31</v>
      </c>
      <c r="G4" s="40" t="s">
        <v>24</v>
      </c>
      <c r="H4" s="40" t="s">
        <v>27</v>
      </c>
      <c r="I4" s="41"/>
      <c r="J4" s="42"/>
      <c r="K4" s="42"/>
      <c r="L4" s="42"/>
      <c r="M4" s="131" t="s">
        <v>86</v>
      </c>
      <c r="N4" s="132"/>
      <c r="O4" s="133"/>
      <c r="P4" s="42"/>
      <c r="Q4" s="42"/>
      <c r="R4" s="42"/>
      <c r="S4" s="42"/>
      <c r="T4" s="42"/>
      <c r="U4" s="16"/>
    </row>
    <row r="5" spans="1:21" ht="30.65" customHeight="1" x14ac:dyDescent="0.45">
      <c r="A5" s="16"/>
      <c r="B5" s="26" t="s">
        <v>3</v>
      </c>
      <c r="C5" s="27" t="s">
        <v>30</v>
      </c>
      <c r="D5" s="28">
        <v>2000</v>
      </c>
      <c r="E5" s="29" t="s">
        <v>53</v>
      </c>
      <c r="F5" s="29" t="s">
        <v>21</v>
      </c>
      <c r="G5" s="29">
        <v>16</v>
      </c>
      <c r="H5" s="39">
        <f t="shared" ref="H5:H10" si="0">D15/G5</f>
        <v>125</v>
      </c>
      <c r="I5" s="43"/>
      <c r="J5" s="44"/>
      <c r="K5" s="44"/>
      <c r="L5" s="44"/>
      <c r="M5" s="86" t="s">
        <v>3</v>
      </c>
      <c r="N5" s="87" t="s">
        <v>30</v>
      </c>
      <c r="O5" s="88">
        <f>I15+I22+I29+I36</f>
        <v>2125</v>
      </c>
      <c r="P5" s="44"/>
      <c r="Q5" s="44"/>
      <c r="R5" s="44"/>
      <c r="S5" s="44"/>
      <c r="T5" s="44"/>
      <c r="U5" s="25"/>
    </row>
    <row r="6" spans="1:21" ht="30" customHeight="1" x14ac:dyDescent="0.45">
      <c r="A6" s="16"/>
      <c r="B6" s="33" t="s">
        <v>28</v>
      </c>
      <c r="C6" s="34" t="s">
        <v>29</v>
      </c>
      <c r="D6" s="28">
        <v>2000</v>
      </c>
      <c r="E6" s="35" t="s">
        <v>53</v>
      </c>
      <c r="F6" s="64" t="s">
        <v>21</v>
      </c>
      <c r="G6" s="35">
        <v>16</v>
      </c>
      <c r="H6" s="39">
        <f t="shared" si="0"/>
        <v>125</v>
      </c>
      <c r="I6" s="43"/>
      <c r="J6" s="42"/>
      <c r="K6" s="42"/>
      <c r="L6" s="42"/>
      <c r="M6" s="89" t="s">
        <v>28</v>
      </c>
      <c r="N6" s="90" t="s">
        <v>29</v>
      </c>
      <c r="O6" s="91">
        <f t="shared" ref="O5:O10" si="1">I16+I23+I30+I37</f>
        <v>2000</v>
      </c>
      <c r="P6" s="42"/>
      <c r="Q6" s="42"/>
      <c r="R6" s="42"/>
      <c r="S6" s="42"/>
      <c r="T6" s="42"/>
      <c r="U6" s="16"/>
    </row>
    <row r="7" spans="1:21" ht="30.65" customHeight="1" x14ac:dyDescent="0.45">
      <c r="A7" s="16"/>
      <c r="B7" s="33" t="s">
        <v>32</v>
      </c>
      <c r="C7" s="36" t="s">
        <v>23</v>
      </c>
      <c r="D7" s="28">
        <v>2000</v>
      </c>
      <c r="E7" s="35" t="s">
        <v>53</v>
      </c>
      <c r="F7" s="64" t="s">
        <v>21</v>
      </c>
      <c r="G7" s="35">
        <v>16</v>
      </c>
      <c r="H7" s="39">
        <f t="shared" si="0"/>
        <v>125</v>
      </c>
      <c r="I7" s="43"/>
      <c r="J7" s="42"/>
      <c r="K7" s="42"/>
      <c r="L7" s="42"/>
      <c r="M7" s="89" t="s">
        <v>32</v>
      </c>
      <c r="N7" s="92" t="s">
        <v>23</v>
      </c>
      <c r="O7" s="88">
        <f t="shared" si="1"/>
        <v>1375</v>
      </c>
      <c r="P7" s="42"/>
      <c r="Q7" s="42"/>
      <c r="R7" s="42"/>
      <c r="S7" s="42"/>
      <c r="T7" s="42"/>
      <c r="U7" s="16"/>
    </row>
    <row r="8" spans="1:21" ht="30" customHeight="1" x14ac:dyDescent="0.45">
      <c r="A8" s="16"/>
      <c r="B8" s="33" t="s">
        <v>8</v>
      </c>
      <c r="C8" s="36" t="s">
        <v>22</v>
      </c>
      <c r="D8" s="28">
        <v>2000</v>
      </c>
      <c r="E8" s="35" t="s">
        <v>53</v>
      </c>
      <c r="F8" s="64" t="s">
        <v>21</v>
      </c>
      <c r="G8" s="35">
        <v>16</v>
      </c>
      <c r="H8" s="39">
        <f t="shared" si="0"/>
        <v>125</v>
      </c>
      <c r="I8" s="43"/>
      <c r="J8" s="42"/>
      <c r="K8" s="42"/>
      <c r="L8" s="42"/>
      <c r="M8" s="89" t="s">
        <v>8</v>
      </c>
      <c r="N8" s="92" t="s">
        <v>22</v>
      </c>
      <c r="O8" s="88">
        <f t="shared" si="1"/>
        <v>2000</v>
      </c>
      <c r="P8" s="42"/>
      <c r="Q8" s="42"/>
      <c r="R8" s="42"/>
      <c r="S8" s="42"/>
      <c r="T8" s="42"/>
      <c r="U8" s="16"/>
    </row>
    <row r="9" spans="1:21" ht="30" customHeight="1" x14ac:dyDescent="0.45">
      <c r="A9" s="16"/>
      <c r="B9" s="33" t="s">
        <v>11</v>
      </c>
      <c r="C9" s="36" t="s">
        <v>33</v>
      </c>
      <c r="D9" s="28">
        <v>2000</v>
      </c>
      <c r="E9" s="35" t="s">
        <v>53</v>
      </c>
      <c r="F9" s="64" t="s">
        <v>21</v>
      </c>
      <c r="G9" s="35">
        <v>16</v>
      </c>
      <c r="H9" s="39">
        <f t="shared" si="0"/>
        <v>125</v>
      </c>
      <c r="I9" s="43"/>
      <c r="J9" s="42"/>
      <c r="K9" s="42"/>
      <c r="L9" s="42"/>
      <c r="M9" s="89" t="s">
        <v>11</v>
      </c>
      <c r="N9" s="92" t="s">
        <v>33</v>
      </c>
      <c r="O9" s="88">
        <f t="shared" si="1"/>
        <v>1500</v>
      </c>
      <c r="P9" s="42"/>
      <c r="Q9" s="42"/>
      <c r="R9" s="42"/>
      <c r="S9" s="42"/>
      <c r="T9" s="42"/>
      <c r="U9" s="16"/>
    </row>
    <row r="10" spans="1:21" ht="30" customHeight="1" x14ac:dyDescent="0.45">
      <c r="A10" s="16"/>
      <c r="B10" s="33" t="s">
        <v>12</v>
      </c>
      <c r="C10" s="36" t="s">
        <v>34</v>
      </c>
      <c r="D10" s="28">
        <v>2000</v>
      </c>
      <c r="E10" s="35" t="s">
        <v>53</v>
      </c>
      <c r="F10" s="64" t="s">
        <v>21</v>
      </c>
      <c r="G10" s="35">
        <v>16</v>
      </c>
      <c r="H10" s="39">
        <f t="shared" si="0"/>
        <v>125</v>
      </c>
      <c r="I10" s="43"/>
      <c r="J10" s="42"/>
      <c r="K10" s="42"/>
      <c r="L10" s="42"/>
      <c r="M10" s="89" t="s">
        <v>12</v>
      </c>
      <c r="N10" s="92" t="s">
        <v>34</v>
      </c>
      <c r="O10" s="88">
        <f t="shared" si="1"/>
        <v>2000</v>
      </c>
      <c r="P10" s="42"/>
      <c r="Q10" s="42"/>
      <c r="R10" s="42"/>
      <c r="S10" s="42"/>
      <c r="T10" s="42"/>
      <c r="U10" s="16"/>
    </row>
    <row r="11" spans="1:21" ht="18" customHeight="1" x14ac:dyDescent="0.35">
      <c r="A11" s="16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16"/>
    </row>
    <row r="12" spans="1:21" ht="22.5" x14ac:dyDescent="0.35">
      <c r="A12" s="16"/>
      <c r="B12" s="45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16"/>
    </row>
    <row r="13" spans="1:21" ht="36" customHeight="1" x14ac:dyDescent="0.45">
      <c r="A13" s="16"/>
      <c r="B13" s="46"/>
      <c r="C13" s="46"/>
      <c r="D13" s="42"/>
      <c r="E13" s="42"/>
      <c r="F13" s="42"/>
      <c r="G13" s="42"/>
      <c r="H13" s="42"/>
      <c r="I13" s="42"/>
      <c r="J13" s="42"/>
      <c r="K13" s="42"/>
      <c r="L13" s="42"/>
      <c r="M13" s="129" t="s">
        <v>52</v>
      </c>
      <c r="N13" s="130"/>
      <c r="O13" s="130"/>
      <c r="P13" s="130"/>
      <c r="Q13" s="130"/>
      <c r="R13" s="130"/>
      <c r="S13" s="130"/>
      <c r="T13" s="130"/>
      <c r="U13" s="16"/>
    </row>
    <row r="14" spans="1:21" ht="30" customHeight="1" x14ac:dyDescent="0.35">
      <c r="A14" s="16"/>
      <c r="B14" s="40" t="s">
        <v>26</v>
      </c>
      <c r="C14" s="40" t="s">
        <v>1</v>
      </c>
      <c r="D14" s="40" t="s">
        <v>25</v>
      </c>
      <c r="E14" s="40" t="s">
        <v>35</v>
      </c>
      <c r="F14" s="40" t="s">
        <v>36</v>
      </c>
      <c r="G14" s="60" t="s">
        <v>2</v>
      </c>
      <c r="H14" s="40" t="s">
        <v>38</v>
      </c>
      <c r="I14" s="40" t="s">
        <v>55</v>
      </c>
      <c r="J14" s="42"/>
      <c r="K14" s="42"/>
      <c r="L14" s="42"/>
      <c r="M14" s="40" t="s">
        <v>26</v>
      </c>
      <c r="N14" s="40" t="s">
        <v>35</v>
      </c>
      <c r="O14" s="40" t="s">
        <v>40</v>
      </c>
      <c r="P14" s="40" t="s">
        <v>41</v>
      </c>
      <c r="Q14" s="40" t="s">
        <v>42</v>
      </c>
      <c r="R14" s="40" t="s">
        <v>44</v>
      </c>
      <c r="S14" s="40" t="s">
        <v>43</v>
      </c>
      <c r="T14" s="40" t="s">
        <v>45</v>
      </c>
      <c r="U14" s="16"/>
    </row>
    <row r="15" spans="1:21" ht="29.25" customHeight="1" x14ac:dyDescent="0.45">
      <c r="A15" s="16"/>
      <c r="B15" s="26" t="s">
        <v>3</v>
      </c>
      <c r="C15" s="27" t="s">
        <v>30</v>
      </c>
      <c r="D15" s="28">
        <v>2000</v>
      </c>
      <c r="E15" s="29" t="s">
        <v>37</v>
      </c>
      <c r="F15" s="30">
        <v>46268</v>
      </c>
      <c r="G15" s="31">
        <v>4</v>
      </c>
      <c r="H15" s="32">
        <f>G15*H5</f>
        <v>500</v>
      </c>
      <c r="I15" s="32">
        <f t="shared" ref="I15:I20" si="2">H15</f>
        <v>500</v>
      </c>
      <c r="J15" s="42"/>
      <c r="K15" s="42"/>
      <c r="L15" s="42"/>
      <c r="M15" s="26" t="s">
        <v>46</v>
      </c>
      <c r="N15" s="47">
        <v>46265</v>
      </c>
      <c r="O15" s="35"/>
      <c r="P15" s="35"/>
      <c r="Q15" s="35"/>
      <c r="R15" s="35"/>
      <c r="S15" s="35"/>
      <c r="T15" s="35"/>
      <c r="U15" s="16"/>
    </row>
    <row r="16" spans="1:21" ht="29.25" customHeight="1" x14ac:dyDescent="0.45">
      <c r="A16" s="16"/>
      <c r="B16" s="33" t="s">
        <v>28</v>
      </c>
      <c r="C16" s="34" t="s">
        <v>29</v>
      </c>
      <c r="D16" s="28">
        <v>2000</v>
      </c>
      <c r="E16" s="35" t="s">
        <v>37</v>
      </c>
      <c r="F16" s="30">
        <v>46268</v>
      </c>
      <c r="G16" s="31">
        <v>4</v>
      </c>
      <c r="H16" s="32">
        <f>H6*G16</f>
        <v>500</v>
      </c>
      <c r="I16" s="32">
        <f t="shared" si="2"/>
        <v>500</v>
      </c>
      <c r="J16" s="42"/>
      <c r="K16" s="42"/>
      <c r="L16" s="42"/>
      <c r="M16" s="33" t="s">
        <v>47</v>
      </c>
      <c r="N16" s="47">
        <v>46266</v>
      </c>
      <c r="O16" s="35"/>
      <c r="P16" s="35"/>
      <c r="Q16" s="35"/>
      <c r="R16" s="35"/>
      <c r="S16" s="35"/>
      <c r="T16" s="35"/>
      <c r="U16" s="16"/>
    </row>
    <row r="17" spans="1:21" ht="29.25" customHeight="1" x14ac:dyDescent="0.45">
      <c r="A17" s="16"/>
      <c r="B17" s="33" t="s">
        <v>32</v>
      </c>
      <c r="C17" s="36" t="s">
        <v>23</v>
      </c>
      <c r="D17" s="28">
        <v>2000</v>
      </c>
      <c r="E17" s="35" t="s">
        <v>37</v>
      </c>
      <c r="F17" s="30">
        <v>46268</v>
      </c>
      <c r="G17" s="31">
        <v>3</v>
      </c>
      <c r="H17" s="32">
        <f>G17*H7</f>
        <v>375</v>
      </c>
      <c r="I17" s="32">
        <f t="shared" si="2"/>
        <v>375</v>
      </c>
      <c r="J17" s="42"/>
      <c r="K17" s="42"/>
      <c r="L17" s="42"/>
      <c r="M17" s="33" t="s">
        <v>48</v>
      </c>
      <c r="N17" s="47">
        <v>46267</v>
      </c>
      <c r="O17" s="35"/>
      <c r="P17" s="35"/>
      <c r="Q17" s="35"/>
      <c r="R17" s="35"/>
      <c r="S17" s="35"/>
      <c r="T17" s="35"/>
      <c r="U17" s="16"/>
    </row>
    <row r="18" spans="1:21" ht="29.25" customHeight="1" x14ac:dyDescent="0.45">
      <c r="A18" s="16"/>
      <c r="B18" s="33" t="s">
        <v>8</v>
      </c>
      <c r="C18" s="36" t="s">
        <v>22</v>
      </c>
      <c r="D18" s="28">
        <v>2000</v>
      </c>
      <c r="E18" s="35" t="s">
        <v>37</v>
      </c>
      <c r="F18" s="30">
        <v>46268</v>
      </c>
      <c r="G18" s="31">
        <v>4</v>
      </c>
      <c r="H18" s="32">
        <f>G18*H8</f>
        <v>500</v>
      </c>
      <c r="I18" s="32">
        <f t="shared" si="2"/>
        <v>500</v>
      </c>
      <c r="J18" s="42"/>
      <c r="K18" s="42"/>
      <c r="L18" s="42"/>
      <c r="M18" s="33" t="s">
        <v>37</v>
      </c>
      <c r="N18" s="47">
        <v>46268</v>
      </c>
      <c r="O18" s="54"/>
      <c r="P18" s="54"/>
      <c r="Q18" s="54"/>
      <c r="R18" s="54"/>
      <c r="S18" s="54"/>
      <c r="T18" s="54"/>
      <c r="U18" s="16"/>
    </row>
    <row r="19" spans="1:21" ht="29.25" customHeight="1" x14ac:dyDescent="0.45">
      <c r="A19" s="16"/>
      <c r="B19" s="33" t="s">
        <v>11</v>
      </c>
      <c r="C19" s="36" t="s">
        <v>33</v>
      </c>
      <c r="D19" s="28">
        <v>2000</v>
      </c>
      <c r="E19" s="35" t="s">
        <v>37</v>
      </c>
      <c r="F19" s="30">
        <v>46268</v>
      </c>
      <c r="G19" s="31">
        <v>4</v>
      </c>
      <c r="H19" s="32">
        <f>G19*H9</f>
        <v>500</v>
      </c>
      <c r="I19" s="32">
        <f t="shared" si="2"/>
        <v>500</v>
      </c>
      <c r="J19" s="42"/>
      <c r="K19" s="42"/>
      <c r="L19" s="42"/>
      <c r="M19" s="33" t="s">
        <v>49</v>
      </c>
      <c r="N19" s="47">
        <v>46269</v>
      </c>
      <c r="O19" s="35"/>
      <c r="P19" s="35"/>
      <c r="Q19" s="35"/>
      <c r="R19" s="35"/>
      <c r="S19" s="35"/>
      <c r="T19" s="35"/>
      <c r="U19" s="16"/>
    </row>
    <row r="20" spans="1:21" ht="29.25" customHeight="1" x14ac:dyDescent="0.45">
      <c r="A20" s="16"/>
      <c r="B20" s="33" t="s">
        <v>12</v>
      </c>
      <c r="C20" s="36" t="s">
        <v>34</v>
      </c>
      <c r="D20" s="28">
        <v>2000</v>
      </c>
      <c r="E20" s="35" t="s">
        <v>37</v>
      </c>
      <c r="F20" s="30">
        <v>46268</v>
      </c>
      <c r="G20" s="29">
        <v>4</v>
      </c>
      <c r="H20" s="32">
        <f>G20*H10</f>
        <v>500</v>
      </c>
      <c r="I20" s="32">
        <f t="shared" si="2"/>
        <v>500</v>
      </c>
      <c r="J20" s="42"/>
      <c r="K20" s="42"/>
      <c r="L20" s="42"/>
      <c r="M20" s="33" t="s">
        <v>50</v>
      </c>
      <c r="N20" s="47">
        <v>46270</v>
      </c>
      <c r="O20" s="35"/>
      <c r="P20" s="35"/>
      <c r="Q20" s="35"/>
      <c r="R20" s="35"/>
      <c r="S20" s="35"/>
      <c r="T20" s="35"/>
      <c r="U20" s="16"/>
    </row>
    <row r="21" spans="1:21" ht="29.25" customHeight="1" x14ac:dyDescent="0.35">
      <c r="A21" s="16"/>
      <c r="B21" s="58"/>
      <c r="C21" s="58"/>
      <c r="D21" s="59"/>
      <c r="E21" s="58"/>
      <c r="F21" s="58"/>
      <c r="G21" s="93"/>
      <c r="H21" s="58"/>
      <c r="I21" s="58"/>
      <c r="J21" s="42"/>
      <c r="K21" s="42"/>
      <c r="L21" s="42"/>
      <c r="M21" s="36" t="s">
        <v>51</v>
      </c>
      <c r="N21" s="47">
        <v>46271</v>
      </c>
      <c r="O21" s="35"/>
      <c r="P21" s="35"/>
      <c r="Q21" s="35"/>
      <c r="R21" s="35"/>
      <c r="S21" s="35"/>
      <c r="T21" s="35"/>
      <c r="U21" s="16"/>
    </row>
    <row r="22" spans="1:21" ht="27.75" customHeight="1" x14ac:dyDescent="0.45">
      <c r="A22" s="16"/>
      <c r="B22" s="26" t="s">
        <v>3</v>
      </c>
      <c r="C22" s="27" t="s">
        <v>30</v>
      </c>
      <c r="D22" s="28">
        <v>2000</v>
      </c>
      <c r="E22" s="29" t="s">
        <v>37</v>
      </c>
      <c r="F22" s="30">
        <v>46275</v>
      </c>
      <c r="G22" s="31">
        <v>0</v>
      </c>
      <c r="H22" s="32">
        <f>G22*H5</f>
        <v>0</v>
      </c>
      <c r="I22" s="32">
        <f>H22+O30</f>
        <v>250</v>
      </c>
      <c r="J22" s="42"/>
      <c r="K22" s="42"/>
      <c r="L22" s="42"/>
      <c r="M22" s="51" t="s">
        <v>39</v>
      </c>
      <c r="N22" s="40"/>
      <c r="O22" s="50"/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16"/>
    </row>
    <row r="23" spans="1:21" ht="29.25" customHeight="1" x14ac:dyDescent="0.45">
      <c r="A23" s="16"/>
      <c r="B23" s="33" t="s">
        <v>28</v>
      </c>
      <c r="C23" s="34" t="s">
        <v>29</v>
      </c>
      <c r="D23" s="28">
        <v>2000</v>
      </c>
      <c r="E23" s="35" t="s">
        <v>37</v>
      </c>
      <c r="F23" s="30">
        <v>46275</v>
      </c>
      <c r="G23" s="31">
        <v>4</v>
      </c>
      <c r="H23" s="32">
        <f>G23*H6</f>
        <v>500</v>
      </c>
      <c r="I23" s="32">
        <f>H23</f>
        <v>500</v>
      </c>
      <c r="J23" s="42"/>
      <c r="K23" s="42"/>
      <c r="L23" s="42"/>
      <c r="M23" s="26" t="s">
        <v>46</v>
      </c>
      <c r="N23" s="47">
        <v>46272</v>
      </c>
      <c r="O23" s="35"/>
      <c r="P23" s="35"/>
      <c r="Q23" s="35"/>
      <c r="R23" s="35"/>
      <c r="S23" s="35"/>
      <c r="T23" s="35"/>
      <c r="U23" s="16"/>
    </row>
    <row r="24" spans="1:21" ht="29.25" customHeight="1" x14ac:dyDescent="0.45">
      <c r="A24" s="16"/>
      <c r="B24" s="33" t="s">
        <v>32</v>
      </c>
      <c r="C24" s="36" t="s">
        <v>23</v>
      </c>
      <c r="D24" s="28">
        <v>2000</v>
      </c>
      <c r="E24" s="35" t="s">
        <v>37</v>
      </c>
      <c r="F24" s="30">
        <v>46275</v>
      </c>
      <c r="G24" s="31">
        <v>0</v>
      </c>
      <c r="H24" s="32">
        <f>G24*H7</f>
        <v>0</v>
      </c>
      <c r="I24" s="32">
        <f>H24</f>
        <v>0</v>
      </c>
      <c r="J24" s="42"/>
      <c r="K24" s="42"/>
      <c r="L24" s="42"/>
      <c r="M24" s="33" t="s">
        <v>47</v>
      </c>
      <c r="N24" s="47">
        <v>46273</v>
      </c>
      <c r="O24" s="35">
        <v>2</v>
      </c>
      <c r="P24" s="35"/>
      <c r="Q24" s="35"/>
      <c r="R24" s="35"/>
      <c r="S24" s="35"/>
      <c r="T24" s="35"/>
      <c r="U24" s="16"/>
    </row>
    <row r="25" spans="1:21" ht="29.25" customHeight="1" x14ac:dyDescent="0.45">
      <c r="A25" s="16"/>
      <c r="B25" s="33" t="s">
        <v>8</v>
      </c>
      <c r="C25" s="36" t="s">
        <v>22</v>
      </c>
      <c r="D25" s="28">
        <v>2000</v>
      </c>
      <c r="E25" s="35" t="s">
        <v>37</v>
      </c>
      <c r="F25" s="30">
        <v>46275</v>
      </c>
      <c r="G25" s="31">
        <v>4</v>
      </c>
      <c r="H25" s="32">
        <f>H8*G25</f>
        <v>500</v>
      </c>
      <c r="I25" s="32">
        <f>H25</f>
        <v>500</v>
      </c>
      <c r="J25" s="42"/>
      <c r="K25" s="42"/>
      <c r="L25" s="42"/>
      <c r="M25" s="33" t="s">
        <v>48</v>
      </c>
      <c r="N25" s="47">
        <v>46274</v>
      </c>
      <c r="O25" s="35"/>
      <c r="P25" s="35"/>
      <c r="Q25" s="35"/>
      <c r="R25" s="35"/>
      <c r="S25" s="35"/>
      <c r="T25" s="35"/>
      <c r="U25" s="16"/>
    </row>
    <row r="26" spans="1:21" ht="29.25" customHeight="1" x14ac:dyDescent="0.45">
      <c r="A26" s="16"/>
      <c r="B26" s="33" t="s">
        <v>11</v>
      </c>
      <c r="C26" s="36" t="s">
        <v>33</v>
      </c>
      <c r="D26" s="28">
        <v>2000</v>
      </c>
      <c r="E26" s="35" t="s">
        <v>37</v>
      </c>
      <c r="F26" s="30">
        <v>46275</v>
      </c>
      <c r="G26" s="31">
        <v>0</v>
      </c>
      <c r="H26" s="32">
        <f>G26*H9</f>
        <v>0</v>
      </c>
      <c r="I26" s="32">
        <f>H26</f>
        <v>0</v>
      </c>
      <c r="J26" s="42"/>
      <c r="K26" s="42"/>
      <c r="L26" s="42"/>
      <c r="M26" s="33" t="s">
        <v>37</v>
      </c>
      <c r="N26" s="47">
        <v>46275</v>
      </c>
      <c r="O26" s="54"/>
      <c r="P26" s="54"/>
      <c r="Q26" s="54"/>
      <c r="R26" s="54"/>
      <c r="S26" s="54"/>
      <c r="T26" s="54"/>
      <c r="U26" s="16"/>
    </row>
    <row r="27" spans="1:21" ht="29.25" customHeight="1" x14ac:dyDescent="0.45">
      <c r="A27" s="16"/>
      <c r="B27" s="33" t="s">
        <v>12</v>
      </c>
      <c r="C27" s="36" t="s">
        <v>34</v>
      </c>
      <c r="D27" s="28">
        <v>2000</v>
      </c>
      <c r="E27" s="35" t="s">
        <v>37</v>
      </c>
      <c r="F27" s="30">
        <v>46275</v>
      </c>
      <c r="G27" s="29">
        <v>4</v>
      </c>
      <c r="H27" s="32">
        <f>G27*H10</f>
        <v>500</v>
      </c>
      <c r="I27" s="32">
        <f>H27</f>
        <v>500</v>
      </c>
      <c r="J27" s="42"/>
      <c r="K27" s="42"/>
      <c r="L27" s="42"/>
      <c r="M27" s="33" t="s">
        <v>49</v>
      </c>
      <c r="N27" s="47">
        <v>46276</v>
      </c>
      <c r="O27" s="35"/>
      <c r="P27" s="35"/>
      <c r="Q27" s="35"/>
      <c r="R27" s="35"/>
      <c r="S27" s="35"/>
      <c r="T27" s="35"/>
      <c r="U27" s="16"/>
    </row>
    <row r="28" spans="1:21" ht="29.25" customHeight="1" x14ac:dyDescent="0.35">
      <c r="A28" s="16"/>
      <c r="B28" s="58"/>
      <c r="C28" s="58"/>
      <c r="D28" s="59"/>
      <c r="E28" s="58"/>
      <c r="F28" s="58"/>
      <c r="G28" s="93"/>
      <c r="H28" s="58"/>
      <c r="I28" s="58"/>
      <c r="J28" s="42"/>
      <c r="K28" s="42"/>
      <c r="L28" s="42"/>
      <c r="M28" s="33" t="s">
        <v>50</v>
      </c>
      <c r="N28" s="47">
        <v>46277</v>
      </c>
      <c r="O28" s="35"/>
      <c r="P28" s="35"/>
      <c r="Q28" s="35"/>
      <c r="R28" s="35"/>
      <c r="S28" s="35"/>
      <c r="T28" s="35"/>
      <c r="U28" s="16"/>
    </row>
    <row r="29" spans="1:21" ht="29.25" customHeight="1" x14ac:dyDescent="0.45">
      <c r="A29" s="16"/>
      <c r="B29" s="26" t="s">
        <v>3</v>
      </c>
      <c r="C29" s="27" t="s">
        <v>30</v>
      </c>
      <c r="D29" s="28">
        <v>2000</v>
      </c>
      <c r="E29" s="29" t="s">
        <v>37</v>
      </c>
      <c r="F29" s="30">
        <v>46282</v>
      </c>
      <c r="G29" s="31">
        <v>4</v>
      </c>
      <c r="H29" s="38">
        <f t="shared" ref="H29:H36" si="3">G29*H5</f>
        <v>500</v>
      </c>
      <c r="I29" s="38">
        <f>H29+O38</f>
        <v>875</v>
      </c>
      <c r="J29" s="42"/>
      <c r="K29" s="42"/>
      <c r="L29" s="42"/>
      <c r="M29" s="36" t="s">
        <v>51</v>
      </c>
      <c r="N29" s="47">
        <v>46278</v>
      </c>
      <c r="O29" s="35"/>
      <c r="P29" s="35"/>
      <c r="Q29" s="35"/>
      <c r="R29" s="35"/>
      <c r="S29" s="35"/>
      <c r="T29" s="35"/>
      <c r="U29" s="16"/>
    </row>
    <row r="30" spans="1:21" ht="27.75" customHeight="1" x14ac:dyDescent="0.45">
      <c r="A30" s="16"/>
      <c r="B30" s="33" t="s">
        <v>28</v>
      </c>
      <c r="C30" s="34" t="s">
        <v>29</v>
      </c>
      <c r="D30" s="28">
        <v>2000</v>
      </c>
      <c r="E30" s="35" t="s">
        <v>37</v>
      </c>
      <c r="F30" s="30">
        <v>46282</v>
      </c>
      <c r="G30" s="31">
        <v>4</v>
      </c>
      <c r="H30" s="38">
        <f t="shared" si="3"/>
        <v>500</v>
      </c>
      <c r="I30" s="38">
        <f>H30</f>
        <v>500</v>
      </c>
      <c r="J30" s="42"/>
      <c r="K30" s="42"/>
      <c r="L30" s="42"/>
      <c r="M30" s="51" t="s">
        <v>39</v>
      </c>
      <c r="N30" s="40"/>
      <c r="O30" s="85">
        <f>O24*H5</f>
        <v>250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16"/>
    </row>
    <row r="31" spans="1:21" ht="29.25" customHeight="1" x14ac:dyDescent="0.45">
      <c r="A31" s="16"/>
      <c r="B31" s="33" t="s">
        <v>32</v>
      </c>
      <c r="C31" s="36" t="s">
        <v>23</v>
      </c>
      <c r="D31" s="28">
        <v>2000</v>
      </c>
      <c r="E31" s="35" t="s">
        <v>37</v>
      </c>
      <c r="F31" s="30">
        <v>46282</v>
      </c>
      <c r="G31" s="31">
        <v>4</v>
      </c>
      <c r="H31" s="38">
        <f t="shared" si="3"/>
        <v>500</v>
      </c>
      <c r="I31" s="38">
        <f>H31</f>
        <v>500</v>
      </c>
      <c r="J31" s="42"/>
      <c r="K31" s="42"/>
      <c r="L31" s="42"/>
      <c r="M31" s="26" t="s">
        <v>46</v>
      </c>
      <c r="N31" s="47">
        <v>46279</v>
      </c>
      <c r="O31" s="35"/>
      <c r="P31" s="35"/>
      <c r="Q31" s="35"/>
      <c r="R31" s="35"/>
      <c r="S31" s="35"/>
      <c r="T31" s="35"/>
      <c r="U31" s="16"/>
    </row>
    <row r="32" spans="1:21" ht="29.25" customHeight="1" x14ac:dyDescent="0.45">
      <c r="A32" s="16"/>
      <c r="B32" s="33" t="s">
        <v>8</v>
      </c>
      <c r="C32" s="36" t="s">
        <v>22</v>
      </c>
      <c r="D32" s="28">
        <v>2000</v>
      </c>
      <c r="E32" s="35" t="s">
        <v>37</v>
      </c>
      <c r="F32" s="30">
        <v>46282</v>
      </c>
      <c r="G32" s="31">
        <v>4</v>
      </c>
      <c r="H32" s="103">
        <f t="shared" si="3"/>
        <v>500</v>
      </c>
      <c r="I32" s="38">
        <f>H32</f>
        <v>500</v>
      </c>
      <c r="J32" s="42"/>
      <c r="K32" s="42"/>
      <c r="L32" s="42"/>
      <c r="M32" s="33" t="s">
        <v>47</v>
      </c>
      <c r="N32" s="47">
        <v>46280</v>
      </c>
      <c r="O32" s="35"/>
      <c r="P32" s="35"/>
      <c r="Q32" s="35"/>
      <c r="R32" s="35"/>
      <c r="S32" s="35"/>
      <c r="T32" s="35"/>
      <c r="U32" s="16"/>
    </row>
    <row r="33" spans="1:21" ht="29.25" customHeight="1" x14ac:dyDescent="0.45">
      <c r="A33" s="16"/>
      <c r="B33" s="33" t="s">
        <v>11</v>
      </c>
      <c r="C33" s="36" t="s">
        <v>33</v>
      </c>
      <c r="D33" s="28">
        <v>2000</v>
      </c>
      <c r="E33" s="35" t="s">
        <v>37</v>
      </c>
      <c r="F33" s="30">
        <v>46282</v>
      </c>
      <c r="G33" s="31">
        <v>4</v>
      </c>
      <c r="H33" s="38">
        <f t="shared" si="3"/>
        <v>500</v>
      </c>
      <c r="I33" s="38">
        <f>H33</f>
        <v>500</v>
      </c>
      <c r="J33" s="42"/>
      <c r="K33" s="42"/>
      <c r="L33" s="42"/>
      <c r="M33" s="33" t="s">
        <v>48</v>
      </c>
      <c r="N33" s="47">
        <v>46281</v>
      </c>
      <c r="O33" s="35">
        <v>3</v>
      </c>
      <c r="P33" s="35"/>
      <c r="Q33" s="35"/>
      <c r="R33" s="35"/>
      <c r="S33" s="35"/>
      <c r="T33" s="35"/>
      <c r="U33" s="16"/>
    </row>
    <row r="34" spans="1:21" ht="29.25" customHeight="1" x14ac:dyDescent="0.35">
      <c r="A34" s="16"/>
      <c r="B34" s="33" t="s">
        <v>12</v>
      </c>
      <c r="C34" s="36" t="s">
        <v>34</v>
      </c>
      <c r="D34" s="28">
        <v>2000</v>
      </c>
      <c r="E34" s="35" t="s">
        <v>37</v>
      </c>
      <c r="F34" s="30">
        <v>46282</v>
      </c>
      <c r="G34" s="29">
        <v>4</v>
      </c>
      <c r="H34" s="38">
        <f t="shared" si="3"/>
        <v>500</v>
      </c>
      <c r="I34" s="38">
        <f>H34</f>
        <v>500</v>
      </c>
      <c r="J34" s="42"/>
      <c r="K34" s="42"/>
      <c r="L34" s="42"/>
      <c r="M34" s="33" t="s">
        <v>37</v>
      </c>
      <c r="N34" s="47">
        <v>46282</v>
      </c>
      <c r="O34" s="54"/>
      <c r="P34" s="54"/>
      <c r="Q34" s="54"/>
      <c r="R34" s="54"/>
      <c r="S34" s="54"/>
      <c r="T34" s="54"/>
      <c r="U34" s="16"/>
    </row>
    <row r="35" spans="1:21" ht="29.25" customHeight="1" x14ac:dyDescent="0.35">
      <c r="A35" s="16"/>
      <c r="B35" s="58"/>
      <c r="C35" s="58"/>
      <c r="D35" s="59"/>
      <c r="E35" s="58"/>
      <c r="F35" s="58"/>
      <c r="G35" s="93"/>
      <c r="H35" s="48"/>
      <c r="I35" s="48"/>
      <c r="J35" s="42"/>
      <c r="K35" s="42"/>
      <c r="L35" s="42"/>
      <c r="M35" s="33" t="s">
        <v>49</v>
      </c>
      <c r="N35" s="47">
        <v>46283</v>
      </c>
      <c r="O35" s="35"/>
      <c r="P35" s="35"/>
      <c r="Q35" s="35"/>
      <c r="R35" s="35"/>
      <c r="S35" s="35"/>
      <c r="T35" s="35"/>
      <c r="U35" s="16"/>
    </row>
    <row r="36" spans="1:21" ht="28.5" customHeight="1" x14ac:dyDescent="0.45">
      <c r="A36" s="16"/>
      <c r="B36" s="26" t="s">
        <v>3</v>
      </c>
      <c r="C36" s="27" t="s">
        <v>30</v>
      </c>
      <c r="D36" s="28">
        <v>2000</v>
      </c>
      <c r="E36" s="29" t="s">
        <v>37</v>
      </c>
      <c r="F36" s="30">
        <v>46289</v>
      </c>
      <c r="G36" s="31">
        <v>4</v>
      </c>
      <c r="H36" s="38">
        <f>G36*H5</f>
        <v>500</v>
      </c>
      <c r="I36" s="38">
        <f>H36</f>
        <v>500</v>
      </c>
      <c r="J36" s="42"/>
      <c r="K36" s="42"/>
      <c r="L36" s="42"/>
      <c r="M36" s="33" t="s">
        <v>50</v>
      </c>
      <c r="N36" s="47">
        <v>46284</v>
      </c>
      <c r="O36" s="35"/>
      <c r="P36" s="35"/>
      <c r="Q36" s="35"/>
      <c r="R36" s="35"/>
      <c r="S36" s="35"/>
      <c r="T36" s="35"/>
      <c r="U36" s="16"/>
    </row>
    <row r="37" spans="1:21" ht="29.25" customHeight="1" x14ac:dyDescent="0.45">
      <c r="A37" s="16"/>
      <c r="B37" s="33" t="s">
        <v>28</v>
      </c>
      <c r="C37" s="34" t="s">
        <v>29</v>
      </c>
      <c r="D37" s="28">
        <v>2000</v>
      </c>
      <c r="E37" s="35" t="s">
        <v>37</v>
      </c>
      <c r="F37" s="30">
        <v>46289</v>
      </c>
      <c r="G37" s="31">
        <v>4</v>
      </c>
      <c r="H37" s="38">
        <f>G37*H6</f>
        <v>500</v>
      </c>
      <c r="I37" s="38">
        <f>H37</f>
        <v>500</v>
      </c>
      <c r="J37" s="42"/>
      <c r="K37" s="42"/>
      <c r="L37" s="42"/>
      <c r="M37" s="36" t="s">
        <v>51</v>
      </c>
      <c r="N37" s="47">
        <v>46285</v>
      </c>
      <c r="O37" s="35"/>
      <c r="P37" s="35"/>
      <c r="Q37" s="35"/>
      <c r="R37" s="35"/>
      <c r="S37" s="35"/>
      <c r="T37" s="35"/>
      <c r="U37" s="16"/>
    </row>
    <row r="38" spans="1:21" ht="28.5" customHeight="1" x14ac:dyDescent="0.45">
      <c r="A38" s="16"/>
      <c r="B38" s="33" t="s">
        <v>32</v>
      </c>
      <c r="C38" s="36" t="s">
        <v>23</v>
      </c>
      <c r="D38" s="28">
        <v>2000</v>
      </c>
      <c r="E38" s="35" t="s">
        <v>37</v>
      </c>
      <c r="F38" s="30">
        <v>46289</v>
      </c>
      <c r="G38" s="31">
        <v>4</v>
      </c>
      <c r="H38" s="38">
        <f>G38*H7</f>
        <v>500</v>
      </c>
      <c r="I38" s="38">
        <f>H38</f>
        <v>500</v>
      </c>
      <c r="J38" s="42"/>
      <c r="K38" s="42"/>
      <c r="L38" s="42"/>
      <c r="M38" s="51" t="s">
        <v>39</v>
      </c>
      <c r="N38" s="40"/>
      <c r="O38" s="85">
        <f>O33*H5</f>
        <v>375</v>
      </c>
      <c r="P38" s="52">
        <v>0</v>
      </c>
      <c r="Q38" s="52">
        <v>0</v>
      </c>
      <c r="R38" s="52">
        <v>0</v>
      </c>
      <c r="S38" s="52">
        <v>0</v>
      </c>
      <c r="T38" s="52">
        <v>0</v>
      </c>
      <c r="U38" s="16"/>
    </row>
    <row r="39" spans="1:21" ht="28.5" customHeight="1" x14ac:dyDescent="0.45">
      <c r="A39" s="16"/>
      <c r="B39" s="33" t="s">
        <v>8</v>
      </c>
      <c r="C39" s="36" t="s">
        <v>22</v>
      </c>
      <c r="D39" s="28">
        <v>2000</v>
      </c>
      <c r="E39" s="35" t="s">
        <v>37</v>
      </c>
      <c r="F39" s="30">
        <v>46289</v>
      </c>
      <c r="G39" s="31">
        <v>4</v>
      </c>
      <c r="H39" s="38">
        <f>G39*H8</f>
        <v>500</v>
      </c>
      <c r="I39" s="38">
        <f>H39</f>
        <v>500</v>
      </c>
      <c r="J39" s="16"/>
      <c r="K39" s="16"/>
      <c r="L39" s="16"/>
      <c r="M39" s="26" t="s">
        <v>46</v>
      </c>
      <c r="N39" s="47">
        <v>46286</v>
      </c>
      <c r="O39" s="35"/>
      <c r="P39" s="35"/>
      <c r="Q39" s="35"/>
      <c r="R39" s="35"/>
      <c r="S39" s="35"/>
      <c r="T39" s="35"/>
      <c r="U39" s="16"/>
    </row>
    <row r="40" spans="1:21" ht="28.5" customHeight="1" x14ac:dyDescent="0.35">
      <c r="A40" s="16"/>
      <c r="B40" s="33" t="s">
        <v>11</v>
      </c>
      <c r="C40" s="36" t="s">
        <v>33</v>
      </c>
      <c r="D40" s="28">
        <v>2000</v>
      </c>
      <c r="E40" s="35" t="s">
        <v>37</v>
      </c>
      <c r="F40" s="30">
        <v>46289</v>
      </c>
      <c r="G40" s="134">
        <v>4</v>
      </c>
      <c r="H40" s="38">
        <f>G40*H9</f>
        <v>500</v>
      </c>
      <c r="I40" s="38">
        <f>H40</f>
        <v>500</v>
      </c>
      <c r="J40" s="16"/>
      <c r="K40" s="16"/>
      <c r="L40" s="16"/>
      <c r="M40" s="33" t="s">
        <v>47</v>
      </c>
      <c r="N40" s="47">
        <v>46287</v>
      </c>
      <c r="O40" s="35"/>
      <c r="P40" s="35"/>
      <c r="Q40" s="35"/>
      <c r="R40" s="35"/>
      <c r="S40" s="35"/>
      <c r="T40" s="35"/>
      <c r="U40" s="16"/>
    </row>
    <row r="41" spans="1:21" ht="28.5" customHeight="1" x14ac:dyDescent="0.45">
      <c r="A41" s="16"/>
      <c r="B41" s="33" t="s">
        <v>12</v>
      </c>
      <c r="C41" s="36" t="s">
        <v>34</v>
      </c>
      <c r="D41" s="28">
        <v>2000</v>
      </c>
      <c r="E41" s="35" t="s">
        <v>37</v>
      </c>
      <c r="F41" s="30">
        <v>46289</v>
      </c>
      <c r="G41" s="31">
        <v>4</v>
      </c>
      <c r="H41" s="38">
        <f>G41*H10</f>
        <v>500</v>
      </c>
      <c r="I41" s="38">
        <f>H41</f>
        <v>500</v>
      </c>
      <c r="J41" s="16"/>
      <c r="K41" s="16"/>
      <c r="L41" s="16"/>
      <c r="M41" s="33" t="s">
        <v>48</v>
      </c>
      <c r="N41" s="47">
        <v>46288</v>
      </c>
      <c r="O41" s="35"/>
      <c r="P41" s="35"/>
      <c r="Q41" s="35"/>
      <c r="R41" s="35"/>
      <c r="S41" s="35"/>
      <c r="T41" s="35"/>
      <c r="U41" s="16"/>
    </row>
    <row r="42" spans="1:21" ht="28.5" customHeight="1" x14ac:dyDescent="0.35">
      <c r="A42" s="16"/>
      <c r="B42" s="65"/>
      <c r="C42" s="65"/>
      <c r="D42" s="66"/>
      <c r="E42" s="65"/>
      <c r="F42" s="65"/>
      <c r="G42" s="65"/>
      <c r="H42" s="67"/>
      <c r="I42" s="67"/>
      <c r="J42" s="16"/>
      <c r="K42" s="16"/>
      <c r="L42" s="16"/>
      <c r="M42" s="33" t="s">
        <v>37</v>
      </c>
      <c r="N42" s="47">
        <v>46289</v>
      </c>
      <c r="O42" s="54"/>
      <c r="P42" s="54"/>
      <c r="Q42" s="54"/>
      <c r="R42" s="54"/>
      <c r="S42" s="54"/>
      <c r="T42" s="54"/>
      <c r="U42" s="16"/>
    </row>
    <row r="43" spans="1:21" ht="28.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33" t="s">
        <v>49</v>
      </c>
      <c r="N43" s="47">
        <v>46290</v>
      </c>
      <c r="O43" s="35"/>
      <c r="P43" s="35"/>
      <c r="Q43" s="35"/>
      <c r="R43" s="35"/>
      <c r="S43" s="35"/>
      <c r="T43" s="35"/>
      <c r="U43" s="16"/>
    </row>
    <row r="44" spans="1:21" ht="28.5" customHeight="1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33" t="s">
        <v>50</v>
      </c>
      <c r="N44" s="47">
        <v>46291</v>
      </c>
      <c r="O44" s="35"/>
      <c r="P44" s="35"/>
      <c r="Q44" s="35"/>
      <c r="R44" s="35"/>
      <c r="S44" s="35"/>
      <c r="T44" s="35"/>
      <c r="U44" s="16"/>
    </row>
    <row r="45" spans="1:21" ht="28.5" customHeight="1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36" t="s">
        <v>51</v>
      </c>
      <c r="N45" s="47">
        <v>46292</v>
      </c>
      <c r="O45" s="35"/>
      <c r="P45" s="35"/>
      <c r="Q45" s="35"/>
      <c r="R45" s="35"/>
      <c r="S45" s="35"/>
      <c r="T45" s="35"/>
      <c r="U45" s="16"/>
    </row>
    <row r="46" spans="1:21" ht="28.5" customHeight="1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51" t="s">
        <v>39</v>
      </c>
      <c r="N46" s="40"/>
      <c r="O46" s="50">
        <f>H13*O41</f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16"/>
    </row>
    <row r="47" spans="1:21" ht="28.5" customHeight="1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28.5" customHeight="1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8" customHeight="1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</sheetData>
  <mergeCells count="3">
    <mergeCell ref="B1:G1"/>
    <mergeCell ref="M4:O4"/>
    <mergeCell ref="M13:T13"/>
  </mergeCells>
  <dataValidations count="1">
    <dataValidation allowBlank="1" showInputMessage="1" showErrorMessage="1" promptTitle="Registro das tarefas de casa" prompt="Ajude os alunos a se tornarem mais organizados com esse registro para tarefa de casa, pronto para impressão, para acompanhar as tarefas. _x000a__x000a_" sqref="A1" xr:uid="{54D4DE77-AFF6-40D7-9774-2A2B9D379C72}"/>
  </dataValidations>
  <printOptions horizontalCentered="1"/>
  <pageMargins left="0.25" right="0.25" top="0.5" bottom="0.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8965-7B0F-43FC-B85E-046DEB6CE8F4}">
  <sheetPr>
    <pageSetUpPr fitToPage="1"/>
  </sheetPr>
  <dimension ref="A1:U49"/>
  <sheetViews>
    <sheetView showGridLines="0" topLeftCell="A6" zoomScale="25" zoomScaleNormal="25" workbookViewId="0">
      <selection activeCell="I15" sqref="I15:I20"/>
    </sheetView>
  </sheetViews>
  <sheetFormatPr defaultColWidth="9.08203125" defaultRowHeight="18" customHeight="1" x14ac:dyDescent="0.35"/>
  <cols>
    <col min="1" max="1" width="4" style="2" customWidth="1"/>
    <col min="2" max="2" width="30.6640625" style="2" customWidth="1"/>
    <col min="3" max="3" width="48.4140625" style="2" customWidth="1"/>
    <col min="4" max="4" width="31.75" style="2" customWidth="1"/>
    <col min="5" max="5" width="33" style="2" customWidth="1"/>
    <col min="6" max="6" width="30.6640625" style="2" customWidth="1"/>
    <col min="7" max="7" width="37.6640625" style="2" customWidth="1"/>
    <col min="8" max="8" width="40" style="2" customWidth="1"/>
    <col min="9" max="9" width="36.9140625" style="2" customWidth="1"/>
    <col min="10" max="10" width="9.08203125" style="2" customWidth="1"/>
    <col min="11" max="12" width="9.08203125" style="2"/>
    <col min="13" max="13" width="33" style="2" customWidth="1"/>
    <col min="14" max="14" width="48.75" style="2" customWidth="1"/>
    <col min="15" max="15" width="27.25" style="2" customWidth="1"/>
    <col min="16" max="16" width="25.4140625" style="2" customWidth="1"/>
    <col min="17" max="20" width="24.4140625" style="2" customWidth="1"/>
    <col min="21" max="16384" width="9.08203125" style="2"/>
  </cols>
  <sheetData>
    <row r="1" spans="1:21" s="1" customFormat="1" ht="73.5" customHeight="1" thickBot="1" x14ac:dyDescent="0.4">
      <c r="A1" s="24"/>
      <c r="B1" s="127" t="s">
        <v>105</v>
      </c>
      <c r="C1" s="128"/>
      <c r="D1" s="128"/>
      <c r="E1" s="128"/>
      <c r="F1" s="128"/>
      <c r="G1" s="128"/>
      <c r="H1" s="14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23" x14ac:dyDescent="0.35">
      <c r="A2" s="16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30.65" customHeight="1" x14ac:dyDescent="0.5">
      <c r="A3" s="16"/>
      <c r="B3" s="17"/>
      <c r="C3" s="18"/>
      <c r="D3" s="19"/>
      <c r="E3" s="20"/>
      <c r="F3" s="21"/>
      <c r="G3" s="22"/>
      <c r="H3" s="23"/>
      <c r="I3" s="23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30.65" customHeight="1" x14ac:dyDescent="0.35">
      <c r="A4" s="16"/>
      <c r="B4" s="40" t="s">
        <v>26</v>
      </c>
      <c r="C4" s="40" t="s">
        <v>1</v>
      </c>
      <c r="D4" s="40" t="s">
        <v>25</v>
      </c>
      <c r="E4" s="40" t="s">
        <v>54</v>
      </c>
      <c r="F4" s="40" t="s">
        <v>31</v>
      </c>
      <c r="G4" s="40" t="s">
        <v>24</v>
      </c>
      <c r="H4" s="40" t="s">
        <v>27</v>
      </c>
      <c r="I4" s="41"/>
      <c r="J4" s="42"/>
      <c r="K4" s="42"/>
      <c r="L4" s="42"/>
      <c r="M4" s="131" t="s">
        <v>86</v>
      </c>
      <c r="N4" s="132"/>
      <c r="O4" s="133"/>
      <c r="P4" s="42"/>
      <c r="Q4" s="42"/>
      <c r="R4" s="42"/>
      <c r="S4" s="42"/>
      <c r="T4" s="42"/>
      <c r="U4" s="16"/>
    </row>
    <row r="5" spans="1:21" ht="30.65" customHeight="1" x14ac:dyDescent="0.45">
      <c r="A5" s="16"/>
      <c r="B5" s="26" t="s">
        <v>3</v>
      </c>
      <c r="C5" s="27" t="s">
        <v>30</v>
      </c>
      <c r="D5" s="28">
        <v>2000</v>
      </c>
      <c r="E5" s="29" t="s">
        <v>53</v>
      </c>
      <c r="F5" s="29" t="s">
        <v>21</v>
      </c>
      <c r="G5" s="29">
        <v>16</v>
      </c>
      <c r="H5" s="39">
        <f t="shared" ref="H5:H10" si="0">D15/G5</f>
        <v>125</v>
      </c>
      <c r="I5" s="43"/>
      <c r="J5" s="44"/>
      <c r="K5" s="44"/>
      <c r="L5" s="44"/>
      <c r="M5" s="86" t="s">
        <v>3</v>
      </c>
      <c r="N5" s="87" t="s">
        <v>30</v>
      </c>
      <c r="O5" s="88">
        <f t="shared" ref="O5:O10" si="1">I15+I22+I29+I36</f>
        <v>375</v>
      </c>
      <c r="P5" s="44"/>
      <c r="Q5" s="44"/>
      <c r="R5" s="44"/>
      <c r="S5" s="44"/>
      <c r="T5" s="44"/>
      <c r="U5" s="25"/>
    </row>
    <row r="6" spans="1:21" ht="30" customHeight="1" x14ac:dyDescent="0.45">
      <c r="A6" s="16"/>
      <c r="B6" s="33" t="s">
        <v>28</v>
      </c>
      <c r="C6" s="34" t="s">
        <v>29</v>
      </c>
      <c r="D6" s="28">
        <v>2000</v>
      </c>
      <c r="E6" s="35" t="s">
        <v>53</v>
      </c>
      <c r="F6" s="64" t="s">
        <v>21</v>
      </c>
      <c r="G6" s="35">
        <v>16</v>
      </c>
      <c r="H6" s="39">
        <f t="shared" si="0"/>
        <v>125</v>
      </c>
      <c r="I6" s="43"/>
      <c r="J6" s="42"/>
      <c r="K6" s="42"/>
      <c r="L6" s="42"/>
      <c r="M6" s="89" t="s">
        <v>28</v>
      </c>
      <c r="N6" s="90" t="s">
        <v>29</v>
      </c>
      <c r="O6" s="91">
        <f t="shared" si="1"/>
        <v>0</v>
      </c>
      <c r="P6" s="42"/>
      <c r="Q6" s="42"/>
      <c r="R6" s="42"/>
      <c r="S6" s="42"/>
      <c r="T6" s="42"/>
      <c r="U6" s="16"/>
    </row>
    <row r="7" spans="1:21" ht="30.65" customHeight="1" x14ac:dyDescent="0.45">
      <c r="A7" s="16"/>
      <c r="B7" s="33" t="s">
        <v>32</v>
      </c>
      <c r="C7" s="36" t="s">
        <v>23</v>
      </c>
      <c r="D7" s="28">
        <v>2000</v>
      </c>
      <c r="E7" s="35" t="s">
        <v>53</v>
      </c>
      <c r="F7" s="64" t="s">
        <v>21</v>
      </c>
      <c r="G7" s="35">
        <v>16</v>
      </c>
      <c r="H7" s="39">
        <f t="shared" si="0"/>
        <v>125</v>
      </c>
      <c r="I7" s="43"/>
      <c r="J7" s="42"/>
      <c r="K7" s="42"/>
      <c r="L7" s="42"/>
      <c r="M7" s="89" t="s">
        <v>32</v>
      </c>
      <c r="N7" s="92" t="s">
        <v>23</v>
      </c>
      <c r="O7" s="88">
        <f t="shared" si="1"/>
        <v>0</v>
      </c>
      <c r="P7" s="42"/>
      <c r="Q7" s="42"/>
      <c r="R7" s="42"/>
      <c r="S7" s="42"/>
      <c r="T7" s="42"/>
      <c r="U7" s="16"/>
    </row>
    <row r="8" spans="1:21" ht="30" customHeight="1" x14ac:dyDescent="0.45">
      <c r="A8" s="16"/>
      <c r="B8" s="33" t="s">
        <v>8</v>
      </c>
      <c r="C8" s="36" t="s">
        <v>22</v>
      </c>
      <c r="D8" s="28">
        <v>2000</v>
      </c>
      <c r="E8" s="35" t="s">
        <v>53</v>
      </c>
      <c r="F8" s="64" t="s">
        <v>21</v>
      </c>
      <c r="G8" s="35">
        <v>16</v>
      </c>
      <c r="H8" s="39">
        <f t="shared" si="0"/>
        <v>125</v>
      </c>
      <c r="I8" s="43"/>
      <c r="J8" s="42"/>
      <c r="K8" s="42"/>
      <c r="L8" s="42"/>
      <c r="M8" s="89" t="s">
        <v>8</v>
      </c>
      <c r="N8" s="92" t="s">
        <v>22</v>
      </c>
      <c r="O8" s="88">
        <f t="shared" si="1"/>
        <v>375</v>
      </c>
      <c r="P8" s="42"/>
      <c r="Q8" s="42"/>
      <c r="R8" s="42"/>
      <c r="S8" s="42"/>
      <c r="T8" s="42"/>
      <c r="U8" s="16"/>
    </row>
    <row r="9" spans="1:21" ht="30" customHeight="1" x14ac:dyDescent="0.45">
      <c r="A9" s="16"/>
      <c r="B9" s="33" t="s">
        <v>11</v>
      </c>
      <c r="C9" s="36" t="s">
        <v>33</v>
      </c>
      <c r="D9" s="28">
        <v>2000</v>
      </c>
      <c r="E9" s="35" t="s">
        <v>53</v>
      </c>
      <c r="F9" s="64" t="s">
        <v>21</v>
      </c>
      <c r="G9" s="35">
        <v>16</v>
      </c>
      <c r="H9" s="39">
        <f t="shared" si="0"/>
        <v>125</v>
      </c>
      <c r="I9" s="43"/>
      <c r="J9" s="42"/>
      <c r="K9" s="42"/>
      <c r="L9" s="42"/>
      <c r="M9" s="89" t="s">
        <v>11</v>
      </c>
      <c r="N9" s="92" t="s">
        <v>33</v>
      </c>
      <c r="O9" s="88">
        <f t="shared" si="1"/>
        <v>0</v>
      </c>
      <c r="P9" s="42"/>
      <c r="Q9" s="42"/>
      <c r="R9" s="42"/>
      <c r="S9" s="42"/>
      <c r="T9" s="42"/>
      <c r="U9" s="16"/>
    </row>
    <row r="10" spans="1:21" ht="30" customHeight="1" x14ac:dyDescent="0.45">
      <c r="A10" s="16"/>
      <c r="B10" s="33" t="s">
        <v>12</v>
      </c>
      <c r="C10" s="36" t="s">
        <v>34</v>
      </c>
      <c r="D10" s="28">
        <v>2000</v>
      </c>
      <c r="E10" s="35" t="s">
        <v>53</v>
      </c>
      <c r="F10" s="64" t="s">
        <v>21</v>
      </c>
      <c r="G10" s="35">
        <v>16</v>
      </c>
      <c r="H10" s="39">
        <f t="shared" si="0"/>
        <v>125</v>
      </c>
      <c r="I10" s="43"/>
      <c r="J10" s="42"/>
      <c r="K10" s="42"/>
      <c r="L10" s="42"/>
      <c r="M10" s="89" t="s">
        <v>12</v>
      </c>
      <c r="N10" s="92" t="s">
        <v>34</v>
      </c>
      <c r="O10" s="88">
        <f t="shared" si="1"/>
        <v>0</v>
      </c>
      <c r="P10" s="42"/>
      <c r="Q10" s="42"/>
      <c r="R10" s="42"/>
      <c r="S10" s="42"/>
      <c r="T10" s="42"/>
      <c r="U10" s="16"/>
    </row>
    <row r="11" spans="1:21" ht="18" customHeight="1" x14ac:dyDescent="0.35">
      <c r="A11" s="16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16"/>
    </row>
    <row r="12" spans="1:21" ht="22.5" x14ac:dyDescent="0.35">
      <c r="A12" s="16"/>
      <c r="B12" s="45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16"/>
    </row>
    <row r="13" spans="1:21" ht="36" customHeight="1" x14ac:dyDescent="0.45">
      <c r="A13" s="16"/>
      <c r="B13" s="46"/>
      <c r="C13" s="46"/>
      <c r="D13" s="42"/>
      <c r="E13" s="42"/>
      <c r="F13" s="42"/>
      <c r="G13" s="42"/>
      <c r="H13" s="42"/>
      <c r="I13" s="42"/>
      <c r="J13" s="42"/>
      <c r="K13" s="42"/>
      <c r="L13" s="42"/>
      <c r="M13" s="129" t="s">
        <v>52</v>
      </c>
      <c r="N13" s="130"/>
      <c r="O13" s="130"/>
      <c r="P13" s="130"/>
      <c r="Q13" s="130"/>
      <c r="R13" s="130"/>
      <c r="S13" s="130"/>
      <c r="T13" s="130"/>
      <c r="U13" s="16"/>
    </row>
    <row r="14" spans="1:21" ht="30" customHeight="1" x14ac:dyDescent="0.35">
      <c r="A14" s="16"/>
      <c r="B14" s="40" t="s">
        <v>26</v>
      </c>
      <c r="C14" s="40" t="s">
        <v>1</v>
      </c>
      <c r="D14" s="40" t="s">
        <v>25</v>
      </c>
      <c r="E14" s="40" t="s">
        <v>35</v>
      </c>
      <c r="F14" s="40" t="s">
        <v>36</v>
      </c>
      <c r="G14" s="60" t="s">
        <v>2</v>
      </c>
      <c r="H14" s="40" t="s">
        <v>38</v>
      </c>
      <c r="I14" s="40" t="s">
        <v>55</v>
      </c>
      <c r="J14" s="42"/>
      <c r="K14" s="42"/>
      <c r="L14" s="42"/>
      <c r="M14" s="40" t="s">
        <v>26</v>
      </c>
      <c r="N14" s="40" t="s">
        <v>35</v>
      </c>
      <c r="O14" s="40" t="s">
        <v>40</v>
      </c>
      <c r="P14" s="40" t="s">
        <v>41</v>
      </c>
      <c r="Q14" s="40" t="s">
        <v>42</v>
      </c>
      <c r="R14" s="40" t="s">
        <v>44</v>
      </c>
      <c r="S14" s="40" t="s">
        <v>43</v>
      </c>
      <c r="T14" s="40" t="s">
        <v>45</v>
      </c>
      <c r="U14" s="16"/>
    </row>
    <row r="15" spans="1:21" ht="29.25" customHeight="1" x14ac:dyDescent="0.45">
      <c r="A15" s="16"/>
      <c r="B15" s="26" t="s">
        <v>3</v>
      </c>
      <c r="C15" s="27" t="s">
        <v>30</v>
      </c>
      <c r="D15" s="28">
        <v>2000</v>
      </c>
      <c r="E15" s="29" t="s">
        <v>37</v>
      </c>
      <c r="F15" s="30">
        <v>46296</v>
      </c>
      <c r="G15" s="31"/>
      <c r="H15" s="32"/>
      <c r="I15" s="32">
        <f>H15+O22</f>
        <v>375</v>
      </c>
      <c r="J15" s="42"/>
      <c r="K15" s="42"/>
      <c r="L15" s="42"/>
      <c r="M15" s="26" t="s">
        <v>46</v>
      </c>
      <c r="N15" s="47">
        <v>46293</v>
      </c>
      <c r="O15" s="35">
        <v>3</v>
      </c>
      <c r="P15" s="35"/>
      <c r="Q15" s="35"/>
      <c r="R15" s="35">
        <v>3</v>
      </c>
      <c r="S15" s="35"/>
      <c r="T15" s="35"/>
      <c r="U15" s="16"/>
    </row>
    <row r="16" spans="1:21" ht="29.25" customHeight="1" x14ac:dyDescent="0.45">
      <c r="A16" s="16"/>
      <c r="B16" s="33" t="s">
        <v>28</v>
      </c>
      <c r="C16" s="34" t="s">
        <v>29</v>
      </c>
      <c r="D16" s="28">
        <v>2000</v>
      </c>
      <c r="E16" s="35" t="s">
        <v>37</v>
      </c>
      <c r="F16" s="30">
        <v>46296</v>
      </c>
      <c r="G16" s="31"/>
      <c r="H16" s="32"/>
      <c r="I16" s="32"/>
      <c r="J16" s="42"/>
      <c r="K16" s="42"/>
      <c r="L16" s="42"/>
      <c r="M16" s="33" t="s">
        <v>47</v>
      </c>
      <c r="N16" s="47">
        <v>46294</v>
      </c>
      <c r="O16" s="35"/>
      <c r="P16" s="35"/>
      <c r="Q16" s="35"/>
      <c r="R16" s="35"/>
      <c r="S16" s="35"/>
      <c r="T16" s="35"/>
      <c r="U16" s="16"/>
    </row>
    <row r="17" spans="1:21" ht="29.25" customHeight="1" x14ac:dyDescent="0.45">
      <c r="A17" s="16"/>
      <c r="B17" s="33" t="s">
        <v>32</v>
      </c>
      <c r="C17" s="36" t="s">
        <v>23</v>
      </c>
      <c r="D17" s="28">
        <v>2000</v>
      </c>
      <c r="E17" s="35" t="s">
        <v>37</v>
      </c>
      <c r="F17" s="30">
        <v>46296</v>
      </c>
      <c r="G17" s="31"/>
      <c r="H17" s="32"/>
      <c r="I17" s="32"/>
      <c r="J17" s="42"/>
      <c r="K17" s="42"/>
      <c r="L17" s="42"/>
      <c r="M17" s="33" t="s">
        <v>48</v>
      </c>
      <c r="N17" s="47">
        <v>46295</v>
      </c>
      <c r="O17" s="35"/>
      <c r="P17" s="35"/>
      <c r="Q17" s="35"/>
      <c r="R17" s="35"/>
      <c r="S17" s="35"/>
      <c r="T17" s="35"/>
      <c r="U17" s="16"/>
    </row>
    <row r="18" spans="1:21" ht="29.25" customHeight="1" x14ac:dyDescent="0.45">
      <c r="A18" s="16"/>
      <c r="B18" s="33" t="s">
        <v>8</v>
      </c>
      <c r="C18" s="36" t="s">
        <v>22</v>
      </c>
      <c r="D18" s="28">
        <v>2000</v>
      </c>
      <c r="E18" s="35" t="s">
        <v>37</v>
      </c>
      <c r="F18" s="30">
        <v>46296</v>
      </c>
      <c r="G18" s="31"/>
      <c r="H18" s="32"/>
      <c r="I18" s="32">
        <f>H18+R22</f>
        <v>375</v>
      </c>
      <c r="J18" s="42"/>
      <c r="K18" s="42"/>
      <c r="L18" s="42"/>
      <c r="M18" s="33" t="s">
        <v>37</v>
      </c>
      <c r="N18" s="47">
        <v>46296</v>
      </c>
      <c r="O18" s="54"/>
      <c r="P18" s="54"/>
      <c r="Q18" s="54"/>
      <c r="R18" s="54"/>
      <c r="S18" s="54"/>
      <c r="T18" s="54"/>
      <c r="U18" s="16"/>
    </row>
    <row r="19" spans="1:21" ht="29.25" customHeight="1" x14ac:dyDescent="0.45">
      <c r="A19" s="16"/>
      <c r="B19" s="33" t="s">
        <v>11</v>
      </c>
      <c r="C19" s="36" t="s">
        <v>33</v>
      </c>
      <c r="D19" s="28">
        <v>2000</v>
      </c>
      <c r="E19" s="35" t="s">
        <v>37</v>
      </c>
      <c r="F19" s="30">
        <v>46296</v>
      </c>
      <c r="G19" s="31"/>
      <c r="H19" s="32"/>
      <c r="I19" s="32"/>
      <c r="J19" s="42"/>
      <c r="K19" s="42"/>
      <c r="L19" s="42"/>
      <c r="M19" s="33" t="s">
        <v>49</v>
      </c>
      <c r="N19" s="47">
        <v>46297</v>
      </c>
      <c r="O19" s="35"/>
      <c r="P19" s="35"/>
      <c r="Q19" s="35"/>
      <c r="R19" s="35"/>
      <c r="S19" s="35"/>
      <c r="T19" s="35"/>
      <c r="U19" s="16"/>
    </row>
    <row r="20" spans="1:21" ht="29.25" customHeight="1" x14ac:dyDescent="0.45">
      <c r="A20" s="16"/>
      <c r="B20" s="33" t="s">
        <v>12</v>
      </c>
      <c r="C20" s="36" t="s">
        <v>34</v>
      </c>
      <c r="D20" s="28">
        <v>2000</v>
      </c>
      <c r="E20" s="35" t="s">
        <v>37</v>
      </c>
      <c r="F20" s="30">
        <v>46296</v>
      </c>
      <c r="G20" s="29"/>
      <c r="H20" s="32"/>
      <c r="I20" s="32"/>
      <c r="J20" s="42"/>
      <c r="K20" s="42"/>
      <c r="L20" s="42"/>
      <c r="M20" s="33" t="s">
        <v>50</v>
      </c>
      <c r="N20" s="47">
        <v>46298</v>
      </c>
      <c r="O20" s="35"/>
      <c r="P20" s="35"/>
      <c r="Q20" s="35"/>
      <c r="R20" s="35"/>
      <c r="S20" s="35"/>
      <c r="T20" s="35"/>
      <c r="U20" s="16"/>
    </row>
    <row r="21" spans="1:21" ht="29.25" customHeight="1" x14ac:dyDescent="0.35">
      <c r="A21" s="16"/>
      <c r="B21" s="58"/>
      <c r="C21" s="58"/>
      <c r="D21" s="59"/>
      <c r="E21" s="58"/>
      <c r="F21" s="58"/>
      <c r="G21" s="93"/>
      <c r="H21" s="58"/>
      <c r="I21" s="58"/>
      <c r="J21" s="42"/>
      <c r="K21" s="42"/>
      <c r="L21" s="42"/>
      <c r="M21" s="36" t="s">
        <v>51</v>
      </c>
      <c r="N21" s="47">
        <v>46299</v>
      </c>
      <c r="O21" s="35"/>
      <c r="P21" s="35"/>
      <c r="Q21" s="35"/>
      <c r="R21" s="35"/>
      <c r="S21" s="35"/>
      <c r="T21" s="35"/>
      <c r="U21" s="16"/>
    </row>
    <row r="22" spans="1:21" ht="27.75" customHeight="1" x14ac:dyDescent="0.45">
      <c r="A22" s="16"/>
      <c r="B22" s="26" t="s">
        <v>3</v>
      </c>
      <c r="C22" s="27" t="s">
        <v>30</v>
      </c>
      <c r="D22" s="28">
        <v>2000</v>
      </c>
      <c r="E22" s="29" t="s">
        <v>37</v>
      </c>
      <c r="F22" s="30">
        <v>46303</v>
      </c>
      <c r="G22" s="31"/>
      <c r="H22" s="32"/>
      <c r="I22" s="32"/>
      <c r="J22" s="42"/>
      <c r="K22" s="42"/>
      <c r="L22" s="42"/>
      <c r="M22" s="51" t="s">
        <v>39</v>
      </c>
      <c r="N22" s="135"/>
      <c r="O22" s="85">
        <f>H5*O15</f>
        <v>375</v>
      </c>
      <c r="P22" s="52">
        <v>0</v>
      </c>
      <c r="Q22" s="52">
        <v>0</v>
      </c>
      <c r="R22" s="136">
        <f>H8*R15</f>
        <v>375</v>
      </c>
      <c r="S22" s="52">
        <v>0</v>
      </c>
      <c r="T22" s="52">
        <v>0</v>
      </c>
      <c r="U22" s="16"/>
    </row>
    <row r="23" spans="1:21" ht="29.25" customHeight="1" x14ac:dyDescent="0.45">
      <c r="A23" s="16"/>
      <c r="B23" s="33" t="s">
        <v>28</v>
      </c>
      <c r="C23" s="34" t="s">
        <v>29</v>
      </c>
      <c r="D23" s="28">
        <v>2000</v>
      </c>
      <c r="E23" s="35" t="s">
        <v>37</v>
      </c>
      <c r="F23" s="30">
        <v>46303</v>
      </c>
      <c r="G23" s="31"/>
      <c r="H23" s="32"/>
      <c r="I23" s="32"/>
      <c r="J23" s="42"/>
      <c r="K23" s="42"/>
      <c r="L23" s="42"/>
      <c r="M23" s="26" t="s">
        <v>46</v>
      </c>
      <c r="N23" s="47">
        <v>46300</v>
      </c>
      <c r="O23" s="35"/>
      <c r="P23" s="35"/>
      <c r="Q23" s="35"/>
      <c r="R23" s="35"/>
      <c r="S23" s="35"/>
      <c r="T23" s="35"/>
      <c r="U23" s="16"/>
    </row>
    <row r="24" spans="1:21" ht="29.25" customHeight="1" x14ac:dyDescent="0.45">
      <c r="A24" s="16"/>
      <c r="B24" s="33" t="s">
        <v>32</v>
      </c>
      <c r="C24" s="36" t="s">
        <v>23</v>
      </c>
      <c r="D24" s="28">
        <v>2000</v>
      </c>
      <c r="E24" s="35" t="s">
        <v>37</v>
      </c>
      <c r="F24" s="30">
        <v>46303</v>
      </c>
      <c r="G24" s="31"/>
      <c r="H24" s="32"/>
      <c r="I24" s="32"/>
      <c r="J24" s="42"/>
      <c r="K24" s="42"/>
      <c r="L24" s="42"/>
      <c r="M24" s="33" t="s">
        <v>47</v>
      </c>
      <c r="N24" s="47">
        <v>46301</v>
      </c>
      <c r="O24" s="35"/>
      <c r="P24" s="35"/>
      <c r="Q24" s="35"/>
      <c r="R24" s="35"/>
      <c r="S24" s="35"/>
      <c r="T24" s="35"/>
      <c r="U24" s="16"/>
    </row>
    <row r="25" spans="1:21" ht="29.25" customHeight="1" x14ac:dyDescent="0.45">
      <c r="A25" s="16"/>
      <c r="B25" s="33" t="s">
        <v>8</v>
      </c>
      <c r="C25" s="36" t="s">
        <v>22</v>
      </c>
      <c r="D25" s="28">
        <v>2000</v>
      </c>
      <c r="E25" s="35" t="s">
        <v>37</v>
      </c>
      <c r="F25" s="30">
        <v>46303</v>
      </c>
      <c r="G25" s="31"/>
      <c r="H25" s="32"/>
      <c r="I25" s="32"/>
      <c r="J25" s="42"/>
      <c r="K25" s="42"/>
      <c r="L25" s="42"/>
      <c r="M25" s="33" t="s">
        <v>48</v>
      </c>
      <c r="N25" s="47">
        <v>46302</v>
      </c>
      <c r="O25" s="35"/>
      <c r="P25" s="35"/>
      <c r="Q25" s="35"/>
      <c r="R25" s="35"/>
      <c r="S25" s="35"/>
      <c r="T25" s="35"/>
      <c r="U25" s="16"/>
    </row>
    <row r="26" spans="1:21" ht="29.25" customHeight="1" x14ac:dyDescent="0.45">
      <c r="A26" s="16"/>
      <c r="B26" s="33" t="s">
        <v>11</v>
      </c>
      <c r="C26" s="36" t="s">
        <v>33</v>
      </c>
      <c r="D26" s="28">
        <v>2000</v>
      </c>
      <c r="E26" s="35" t="s">
        <v>37</v>
      </c>
      <c r="F26" s="30">
        <v>46303</v>
      </c>
      <c r="G26" s="31"/>
      <c r="H26" s="32"/>
      <c r="I26" s="32"/>
      <c r="J26" s="42"/>
      <c r="K26" s="42"/>
      <c r="L26" s="42"/>
      <c r="M26" s="33" t="s">
        <v>37</v>
      </c>
      <c r="N26" s="47">
        <v>46303</v>
      </c>
      <c r="O26" s="54"/>
      <c r="P26" s="54"/>
      <c r="Q26" s="54"/>
      <c r="R26" s="54"/>
      <c r="S26" s="54"/>
      <c r="T26" s="54"/>
      <c r="U26" s="16"/>
    </row>
    <row r="27" spans="1:21" ht="29.25" customHeight="1" x14ac:dyDescent="0.45">
      <c r="A27" s="16"/>
      <c r="B27" s="33" t="s">
        <v>12</v>
      </c>
      <c r="C27" s="36" t="s">
        <v>34</v>
      </c>
      <c r="D27" s="28">
        <v>2000</v>
      </c>
      <c r="E27" s="35" t="s">
        <v>37</v>
      </c>
      <c r="F27" s="30">
        <v>46303</v>
      </c>
      <c r="G27" s="29"/>
      <c r="H27" s="32"/>
      <c r="I27" s="32"/>
      <c r="J27" s="42"/>
      <c r="K27" s="42"/>
      <c r="L27" s="42"/>
      <c r="M27" s="33" t="s">
        <v>49</v>
      </c>
      <c r="N27" s="47">
        <v>46304</v>
      </c>
      <c r="O27" s="35"/>
      <c r="P27" s="35"/>
      <c r="Q27" s="35"/>
      <c r="R27" s="35"/>
      <c r="S27" s="35"/>
      <c r="T27" s="35"/>
      <c r="U27" s="16"/>
    </row>
    <row r="28" spans="1:21" ht="29.25" customHeight="1" x14ac:dyDescent="0.35">
      <c r="A28" s="16"/>
      <c r="B28" s="58"/>
      <c r="C28" s="58"/>
      <c r="D28" s="59"/>
      <c r="E28" s="58"/>
      <c r="F28" s="58"/>
      <c r="G28" s="93"/>
      <c r="H28" s="58"/>
      <c r="I28" s="58"/>
      <c r="J28" s="42"/>
      <c r="K28" s="42"/>
      <c r="L28" s="42"/>
      <c r="M28" s="33" t="s">
        <v>50</v>
      </c>
      <c r="N28" s="47">
        <v>46305</v>
      </c>
      <c r="O28" s="35"/>
      <c r="P28" s="35"/>
      <c r="Q28" s="35"/>
      <c r="R28" s="35"/>
      <c r="S28" s="35"/>
      <c r="T28" s="35"/>
      <c r="U28" s="16"/>
    </row>
    <row r="29" spans="1:21" ht="29.25" customHeight="1" x14ac:dyDescent="0.45">
      <c r="A29" s="16"/>
      <c r="B29" s="26" t="s">
        <v>3</v>
      </c>
      <c r="C29" s="27" t="s">
        <v>30</v>
      </c>
      <c r="D29" s="28">
        <v>2000</v>
      </c>
      <c r="E29" s="29" t="s">
        <v>37</v>
      </c>
      <c r="F29" s="30"/>
      <c r="G29" s="31"/>
      <c r="H29" s="38"/>
      <c r="I29" s="38"/>
      <c r="J29" s="42"/>
      <c r="K29" s="42"/>
      <c r="L29" s="42"/>
      <c r="M29" s="36" t="s">
        <v>51</v>
      </c>
      <c r="N29" s="47">
        <v>46306</v>
      </c>
      <c r="O29" s="35"/>
      <c r="P29" s="35"/>
      <c r="Q29" s="35"/>
      <c r="R29" s="35"/>
      <c r="S29" s="35"/>
      <c r="T29" s="35"/>
      <c r="U29" s="16"/>
    </row>
    <row r="30" spans="1:21" ht="27.75" customHeight="1" x14ac:dyDescent="0.45">
      <c r="A30" s="16"/>
      <c r="B30" s="33" t="s">
        <v>28</v>
      </c>
      <c r="C30" s="34" t="s">
        <v>29</v>
      </c>
      <c r="D30" s="28">
        <v>2000</v>
      </c>
      <c r="E30" s="35" t="s">
        <v>37</v>
      </c>
      <c r="F30" s="30"/>
      <c r="G30" s="31"/>
      <c r="H30" s="38"/>
      <c r="I30" s="38"/>
      <c r="J30" s="42"/>
      <c r="K30" s="42"/>
      <c r="L30" s="42"/>
      <c r="M30" s="51" t="s">
        <v>39</v>
      </c>
      <c r="N30" s="135"/>
      <c r="O30" s="50">
        <f>O24*H5</f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16"/>
    </row>
    <row r="31" spans="1:21" ht="29.25" customHeight="1" x14ac:dyDescent="0.45">
      <c r="A31" s="16"/>
      <c r="B31" s="33" t="s">
        <v>32</v>
      </c>
      <c r="C31" s="36" t="s">
        <v>23</v>
      </c>
      <c r="D31" s="28">
        <v>2000</v>
      </c>
      <c r="E31" s="35" t="s">
        <v>37</v>
      </c>
      <c r="F31" s="30"/>
      <c r="G31" s="31"/>
      <c r="H31" s="38"/>
      <c r="I31" s="38"/>
      <c r="J31" s="42"/>
      <c r="K31" s="42"/>
      <c r="L31" s="42"/>
      <c r="M31" s="26" t="s">
        <v>46</v>
      </c>
      <c r="N31" s="47">
        <v>46307</v>
      </c>
      <c r="O31" s="35"/>
      <c r="P31" s="35"/>
      <c r="Q31" s="35"/>
      <c r="R31" s="35"/>
      <c r="S31" s="35"/>
      <c r="T31" s="35"/>
      <c r="U31" s="16"/>
    </row>
    <row r="32" spans="1:21" ht="29.25" customHeight="1" x14ac:dyDescent="0.45">
      <c r="A32" s="16"/>
      <c r="B32" s="33" t="s">
        <v>8</v>
      </c>
      <c r="C32" s="36" t="s">
        <v>22</v>
      </c>
      <c r="D32" s="28">
        <v>2000</v>
      </c>
      <c r="E32" s="35" t="s">
        <v>37</v>
      </c>
      <c r="F32" s="30"/>
      <c r="G32" s="31"/>
      <c r="H32" s="103"/>
      <c r="I32" s="38"/>
      <c r="J32" s="42"/>
      <c r="K32" s="42"/>
      <c r="L32" s="42"/>
      <c r="M32" s="33" t="s">
        <v>47</v>
      </c>
      <c r="N32" s="47">
        <v>46308</v>
      </c>
      <c r="O32" s="35"/>
      <c r="P32" s="35"/>
      <c r="Q32" s="35"/>
      <c r="R32" s="35"/>
      <c r="S32" s="35"/>
      <c r="T32" s="35"/>
      <c r="U32" s="16"/>
    </row>
    <row r="33" spans="1:21" ht="29.25" customHeight="1" x14ac:dyDescent="0.45">
      <c r="A33" s="16"/>
      <c r="B33" s="33" t="s">
        <v>11</v>
      </c>
      <c r="C33" s="36" t="s">
        <v>33</v>
      </c>
      <c r="D33" s="28">
        <v>2000</v>
      </c>
      <c r="E33" s="35" t="s">
        <v>37</v>
      </c>
      <c r="F33" s="30"/>
      <c r="G33" s="31"/>
      <c r="H33" s="38"/>
      <c r="I33" s="38"/>
      <c r="J33" s="42"/>
      <c r="K33" s="42"/>
      <c r="L33" s="42"/>
      <c r="M33" s="33" t="s">
        <v>48</v>
      </c>
      <c r="N33" s="47">
        <v>46309</v>
      </c>
      <c r="O33" s="35"/>
      <c r="P33" s="35"/>
      <c r="Q33" s="35"/>
      <c r="R33" s="35"/>
      <c r="S33" s="35"/>
      <c r="T33" s="35"/>
      <c r="U33" s="16"/>
    </row>
    <row r="34" spans="1:21" ht="29.25" customHeight="1" x14ac:dyDescent="0.35">
      <c r="A34" s="16"/>
      <c r="B34" s="33" t="s">
        <v>12</v>
      </c>
      <c r="C34" s="36" t="s">
        <v>34</v>
      </c>
      <c r="D34" s="28">
        <v>2000</v>
      </c>
      <c r="E34" s="35" t="s">
        <v>37</v>
      </c>
      <c r="F34" s="30"/>
      <c r="G34" s="29"/>
      <c r="H34" s="38"/>
      <c r="I34" s="38"/>
      <c r="J34" s="42"/>
      <c r="K34" s="42"/>
      <c r="L34" s="42"/>
      <c r="M34" s="33" t="s">
        <v>37</v>
      </c>
      <c r="N34" s="47">
        <v>46310</v>
      </c>
      <c r="O34" s="54"/>
      <c r="P34" s="54"/>
      <c r="Q34" s="54"/>
      <c r="R34" s="54"/>
      <c r="S34" s="54"/>
      <c r="T34" s="54"/>
      <c r="U34" s="16"/>
    </row>
    <row r="35" spans="1:21" ht="29.25" customHeight="1" x14ac:dyDescent="0.35">
      <c r="A35" s="16"/>
      <c r="B35" s="58"/>
      <c r="C35" s="58"/>
      <c r="D35" s="59"/>
      <c r="E35" s="58"/>
      <c r="F35" s="58"/>
      <c r="G35" s="93"/>
      <c r="H35" s="48"/>
      <c r="I35" s="48"/>
      <c r="J35" s="42"/>
      <c r="K35" s="42"/>
      <c r="L35" s="42"/>
      <c r="M35" s="33" t="s">
        <v>49</v>
      </c>
      <c r="N35" s="47">
        <v>46311</v>
      </c>
      <c r="O35" s="35"/>
      <c r="P35" s="35"/>
      <c r="Q35" s="35"/>
      <c r="R35" s="35"/>
      <c r="S35" s="35"/>
      <c r="T35" s="35"/>
      <c r="U35" s="16"/>
    </row>
    <row r="36" spans="1:21" ht="28.5" customHeight="1" x14ac:dyDescent="0.45">
      <c r="A36" s="16"/>
      <c r="B36" s="26" t="s">
        <v>3</v>
      </c>
      <c r="C36" s="27" t="s">
        <v>30</v>
      </c>
      <c r="D36" s="28">
        <v>2000</v>
      </c>
      <c r="E36" s="29" t="s">
        <v>37</v>
      </c>
      <c r="F36" s="30"/>
      <c r="G36" s="31"/>
      <c r="H36" s="38"/>
      <c r="I36" s="38"/>
      <c r="J36" s="42"/>
      <c r="K36" s="42"/>
      <c r="L36" s="42"/>
      <c r="M36" s="33" t="s">
        <v>50</v>
      </c>
      <c r="N36" s="47">
        <v>46312</v>
      </c>
      <c r="O36" s="35"/>
      <c r="P36" s="35"/>
      <c r="Q36" s="35"/>
      <c r="R36" s="35"/>
      <c r="S36" s="35"/>
      <c r="T36" s="35"/>
      <c r="U36" s="16"/>
    </row>
    <row r="37" spans="1:21" ht="29.25" customHeight="1" x14ac:dyDescent="0.45">
      <c r="A37" s="16"/>
      <c r="B37" s="33" t="s">
        <v>28</v>
      </c>
      <c r="C37" s="34" t="s">
        <v>29</v>
      </c>
      <c r="D37" s="28">
        <v>2000</v>
      </c>
      <c r="E37" s="35" t="s">
        <v>37</v>
      </c>
      <c r="F37" s="30"/>
      <c r="G37" s="31"/>
      <c r="H37" s="38"/>
      <c r="I37" s="38"/>
      <c r="J37" s="42"/>
      <c r="K37" s="42"/>
      <c r="L37" s="42"/>
      <c r="M37" s="36" t="s">
        <v>51</v>
      </c>
      <c r="N37" s="47">
        <v>46313</v>
      </c>
      <c r="O37" s="35"/>
      <c r="P37" s="35"/>
      <c r="Q37" s="35"/>
      <c r="R37" s="35"/>
      <c r="S37" s="35"/>
      <c r="T37" s="35"/>
      <c r="U37" s="16"/>
    </row>
    <row r="38" spans="1:21" ht="28.5" customHeight="1" x14ac:dyDescent="0.45">
      <c r="A38" s="16"/>
      <c r="B38" s="33" t="s">
        <v>32</v>
      </c>
      <c r="C38" s="36" t="s">
        <v>23</v>
      </c>
      <c r="D38" s="28">
        <v>2000</v>
      </c>
      <c r="E38" s="35" t="s">
        <v>37</v>
      </c>
      <c r="F38" s="30"/>
      <c r="G38" s="31"/>
      <c r="H38" s="38"/>
      <c r="I38" s="38"/>
      <c r="J38" s="42"/>
      <c r="K38" s="42"/>
      <c r="L38" s="42"/>
      <c r="M38" s="51" t="s">
        <v>39</v>
      </c>
      <c r="N38" s="40"/>
      <c r="O38" s="50">
        <f>O33*H5</f>
        <v>0</v>
      </c>
      <c r="P38" s="52">
        <v>0</v>
      </c>
      <c r="Q38" s="52">
        <v>0</v>
      </c>
      <c r="R38" s="52">
        <v>0</v>
      </c>
      <c r="S38" s="52">
        <v>0</v>
      </c>
      <c r="T38" s="52">
        <v>0</v>
      </c>
      <c r="U38" s="16"/>
    </row>
    <row r="39" spans="1:21" ht="28.5" customHeight="1" x14ac:dyDescent="0.45">
      <c r="A39" s="16"/>
      <c r="B39" s="33" t="s">
        <v>8</v>
      </c>
      <c r="C39" s="36" t="s">
        <v>22</v>
      </c>
      <c r="D39" s="28">
        <v>2000</v>
      </c>
      <c r="E39" s="35" t="s">
        <v>37</v>
      </c>
      <c r="F39" s="30"/>
      <c r="G39" s="31"/>
      <c r="H39" s="38"/>
      <c r="I39" s="38"/>
      <c r="J39" s="16"/>
      <c r="K39" s="16"/>
      <c r="L39" s="16"/>
      <c r="M39" s="26" t="s">
        <v>46</v>
      </c>
      <c r="N39" s="47">
        <v>46314</v>
      </c>
      <c r="O39" s="35"/>
      <c r="P39" s="35"/>
      <c r="Q39" s="35"/>
      <c r="R39" s="35"/>
      <c r="S39" s="35"/>
      <c r="T39" s="35"/>
      <c r="U39" s="16"/>
    </row>
    <row r="40" spans="1:21" ht="28.5" customHeight="1" x14ac:dyDescent="0.35">
      <c r="A40" s="16"/>
      <c r="B40" s="33" t="s">
        <v>11</v>
      </c>
      <c r="C40" s="36" t="s">
        <v>33</v>
      </c>
      <c r="D40" s="28">
        <v>2000</v>
      </c>
      <c r="E40" s="35" t="s">
        <v>37</v>
      </c>
      <c r="F40" s="30"/>
      <c r="G40" s="134"/>
      <c r="H40" s="38"/>
      <c r="I40" s="38"/>
      <c r="J40" s="16"/>
      <c r="K40" s="16"/>
      <c r="L40" s="16"/>
      <c r="M40" s="33" t="s">
        <v>47</v>
      </c>
      <c r="N40" s="47">
        <v>46315</v>
      </c>
      <c r="O40" s="35"/>
      <c r="P40" s="35"/>
      <c r="Q40" s="35"/>
      <c r="R40" s="35"/>
      <c r="S40" s="35"/>
      <c r="T40" s="35"/>
      <c r="U40" s="16"/>
    </row>
    <row r="41" spans="1:21" ht="28.5" customHeight="1" x14ac:dyDescent="0.45">
      <c r="A41" s="16"/>
      <c r="B41" s="33" t="s">
        <v>12</v>
      </c>
      <c r="C41" s="36" t="s">
        <v>34</v>
      </c>
      <c r="D41" s="28">
        <v>2000</v>
      </c>
      <c r="E41" s="35" t="s">
        <v>37</v>
      </c>
      <c r="F41" s="30"/>
      <c r="G41" s="31"/>
      <c r="H41" s="38"/>
      <c r="I41" s="38"/>
      <c r="J41" s="16"/>
      <c r="K41" s="16"/>
      <c r="L41" s="16"/>
      <c r="M41" s="33" t="s">
        <v>48</v>
      </c>
      <c r="N41" s="47">
        <v>46316</v>
      </c>
      <c r="O41" s="35"/>
      <c r="P41" s="35"/>
      <c r="Q41" s="35"/>
      <c r="R41" s="35"/>
      <c r="S41" s="35"/>
      <c r="T41" s="35"/>
      <c r="U41" s="16"/>
    </row>
    <row r="42" spans="1:21" ht="28.5" customHeight="1" x14ac:dyDescent="0.35">
      <c r="A42" s="16"/>
      <c r="B42" s="65"/>
      <c r="C42" s="65"/>
      <c r="D42" s="66"/>
      <c r="E42" s="65"/>
      <c r="F42" s="65"/>
      <c r="G42" s="65"/>
      <c r="H42" s="67"/>
      <c r="I42" s="67"/>
      <c r="J42" s="16"/>
      <c r="K42" s="16"/>
      <c r="L42" s="16"/>
      <c r="M42" s="33" t="s">
        <v>37</v>
      </c>
      <c r="N42" s="47">
        <v>46317</v>
      </c>
      <c r="O42" s="54"/>
      <c r="P42" s="54"/>
      <c r="Q42" s="54"/>
      <c r="R42" s="54"/>
      <c r="S42" s="54"/>
      <c r="T42" s="54"/>
      <c r="U42" s="16"/>
    </row>
    <row r="43" spans="1:21" ht="28.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33" t="s">
        <v>49</v>
      </c>
      <c r="N43" s="47">
        <v>46318</v>
      </c>
      <c r="O43" s="35"/>
      <c r="P43" s="35"/>
      <c r="Q43" s="35"/>
      <c r="R43" s="35"/>
      <c r="S43" s="35"/>
      <c r="T43" s="35"/>
      <c r="U43" s="16"/>
    </row>
    <row r="44" spans="1:21" ht="28.5" customHeight="1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33" t="s">
        <v>50</v>
      </c>
      <c r="N44" s="47">
        <v>46319</v>
      </c>
      <c r="O44" s="35"/>
      <c r="P44" s="35"/>
      <c r="Q44" s="35"/>
      <c r="R44" s="35"/>
      <c r="S44" s="35"/>
      <c r="T44" s="35"/>
      <c r="U44" s="16"/>
    </row>
    <row r="45" spans="1:21" ht="28.5" customHeight="1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36" t="s">
        <v>51</v>
      </c>
      <c r="N45" s="47">
        <v>46320</v>
      </c>
      <c r="O45" s="35"/>
      <c r="P45" s="35"/>
      <c r="Q45" s="35"/>
      <c r="R45" s="35"/>
      <c r="S45" s="35"/>
      <c r="T45" s="35"/>
      <c r="U45" s="16"/>
    </row>
    <row r="46" spans="1:21" ht="28.5" customHeight="1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51" t="s">
        <v>39</v>
      </c>
      <c r="N46" s="40"/>
      <c r="O46" s="50">
        <f>H13*O41</f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16"/>
    </row>
    <row r="47" spans="1:21" ht="28.5" customHeight="1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28.5" customHeight="1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8" customHeight="1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</sheetData>
  <mergeCells count="3">
    <mergeCell ref="B1:G1"/>
    <mergeCell ref="M4:O4"/>
    <mergeCell ref="M13:T13"/>
  </mergeCells>
  <dataValidations count="1">
    <dataValidation allowBlank="1" showInputMessage="1" showErrorMessage="1" promptTitle="Registro das tarefas de casa" prompt="Ajude os alunos a se tornarem mais organizados com esse registro para tarefa de casa, pronto para impressão, para acompanhar as tarefas. _x000a__x000a_" sqref="A1" xr:uid="{BB5191E1-BF30-432F-80E4-46B3B3397156}"/>
  </dataValidations>
  <printOptions horizontalCentered="1"/>
  <pageMargins left="0.25" right="0.25" top="0.5" bottom="0.5" header="0.3" footer="0.3"/>
  <pageSetup paperSize="9" scale="4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E0D53B8EB7CC4785457FDC4360DEB0" ma:contentTypeVersion="5" ma:contentTypeDescription="Crie um novo documento." ma:contentTypeScope="" ma:versionID="5889a210ffa40d5284db2d851a93908a">
  <xsd:schema xmlns:xsd="http://www.w3.org/2001/XMLSchema" xmlns:xs="http://www.w3.org/2001/XMLSchema" xmlns:p="http://schemas.microsoft.com/office/2006/metadata/properties" xmlns:ns3="9226b79f-9034-4ca2-ba82-d434f561f73e" targetNamespace="http://schemas.microsoft.com/office/2006/metadata/properties" ma:root="true" ma:fieldsID="4d374b3c81b173661378caaea96fee69" ns3:_="">
    <xsd:import namespace="9226b79f-9034-4ca2-ba82-d434f561f7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6b79f-9034-4ca2-ba82-d434f561f7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26b79f-9034-4ca2-ba82-d434f561f73e" xsi:nil="true"/>
  </documentManagement>
</p:properties>
</file>

<file path=customXml/itemProps1.xml><?xml version="1.0" encoding="utf-8"?>
<ds:datastoreItem xmlns:ds="http://schemas.openxmlformats.org/officeDocument/2006/customXml" ds:itemID="{35FF5124-17F9-4BCE-8051-FA839AC39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26b79f-9034-4ca2-ba82-d434f561f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66F24C-3543-4EC7-AF05-D013CF2AD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2A95FF-A338-465D-B0F9-77E5D144781D}">
  <ds:schemaRefs>
    <ds:schemaRef ds:uri="http://schemas.microsoft.com/office/infopath/2007/PartnerControls"/>
    <ds:schemaRef ds:uri="http://purl.org/dc/terms/"/>
    <ds:schemaRef ds:uri="9226b79f-9034-4ca2-ba82-d434f561f73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Cronograma Gantt </vt:lpstr>
      <vt:lpstr>Carga horária - AGOSTO</vt:lpstr>
      <vt:lpstr>Carga horária - SETEMBRO</vt:lpstr>
      <vt:lpstr>Carga horária - 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2020-10-16T17:10:42Z</dcterms:created>
  <dcterms:modified xsi:type="dcterms:W3CDTF">2026-09-28T23:30:33Z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0x0101005EE0D53B8EB7CC4785457FDC4360DEB0</vt:lpwstr>
  </property>
</Properties>
</file>