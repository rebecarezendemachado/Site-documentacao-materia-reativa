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ell\Favorites\Downloads\materia-reativa-documentacao-azul\materia-reativa-documentacao\documentos\"/>
    </mc:Choice>
  </mc:AlternateContent>
  <xr:revisionPtr revIDLastSave="0" documentId="8_{1F40C08C-8920-45FD-9407-072AA6969419}" xr6:coauthVersionLast="47" xr6:coauthVersionMax="47" xr10:uidLastSave="{00000000-0000-0000-0000-000000000000}"/>
  <bookViews>
    <workbookView xWindow="1820" yWindow="1820" windowWidth="14400" windowHeight="7270" activeTab="4" xr2:uid="{00000000-000D-0000-FFFF-FFFF00000000}"/>
  </bookViews>
  <sheets>
    <sheet name="Principal - Resumo" sheetId="1" r:id="rId1"/>
    <sheet name="Funcionários" sheetId="3" r:id="rId2"/>
    <sheet name="Orçamentos" sheetId="2" r:id="rId3"/>
    <sheet name="Internet - Serviços" sheetId="6" r:id="rId4"/>
    <sheet name="Sistemas - Apps - Sites" sheetId="7" r:id="rId5"/>
    <sheet name="Abertura empresa" sheetId="8" r:id="rId6"/>
  </sheets>
  <definedNames>
    <definedName name="_xlnm._FilterDatabase" localSheetId="2" hidden="1">Orçamentos!$A$4:$I$8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1" l="1"/>
  <c r="I12" i="1"/>
  <c r="I15" i="1"/>
  <c r="E16" i="1"/>
  <c r="I14" i="1"/>
  <c r="I13" i="1"/>
  <c r="B15" i="1"/>
  <c r="E11" i="1"/>
  <c r="E14" i="1"/>
  <c r="E13" i="1"/>
  <c r="H7" i="8"/>
  <c r="H9" i="8"/>
  <c r="H5" i="8"/>
  <c r="I5" i="1"/>
  <c r="G5" i="1"/>
  <c r="C5" i="1"/>
  <c r="A5" i="1"/>
  <c r="D16" i="1"/>
  <c r="C16" i="1"/>
  <c r="B16" i="1"/>
  <c r="J19" i="7"/>
  <c r="C11" i="1"/>
  <c r="G17" i="7"/>
  <c r="G15" i="7"/>
  <c r="E15" i="7"/>
  <c r="G12" i="7"/>
  <c r="G11" i="7"/>
  <c r="G6" i="7"/>
  <c r="E10" i="7"/>
  <c r="G10" i="7" s="1"/>
  <c r="E9" i="7"/>
  <c r="G9" i="7" s="1"/>
  <c r="E8" i="7"/>
  <c r="G8" i="7" s="1"/>
  <c r="E7" i="7"/>
  <c r="G7" i="7" s="1"/>
  <c r="E5" i="1" l="1"/>
  <c r="A7" i="1" s="1"/>
  <c r="E5" i="7"/>
  <c r="G5" i="7" s="1"/>
  <c r="F8" i="2"/>
  <c r="F7" i="2"/>
  <c r="F6" i="2"/>
  <c r="F5" i="2"/>
  <c r="E10" i="3"/>
  <c r="F10" i="3" s="1"/>
  <c r="E9" i="3"/>
  <c r="F9" i="3" s="1"/>
  <c r="E8" i="3"/>
  <c r="F8" i="3" s="1"/>
  <c r="E7" i="3"/>
  <c r="F7" i="3" s="1"/>
  <c r="E6" i="3"/>
  <c r="F6" i="3" s="1"/>
  <c r="E5" i="3"/>
  <c r="F5" i="3" s="1"/>
  <c r="I10" i="2" l="1"/>
  <c r="F12" i="3"/>
</calcChain>
</file>

<file path=xl/sharedStrings.xml><?xml version="1.0" encoding="utf-8"?>
<sst xmlns="http://schemas.openxmlformats.org/spreadsheetml/2006/main" count="241" uniqueCount="164">
  <si>
    <t>Visão geral do projeto • valores calculados automaticamente</t>
  </si>
  <si>
    <t>FUNCIONÁRIOS</t>
  </si>
  <si>
    <t>INTERNET / SERVIÇOS</t>
  </si>
  <si>
    <t>TOTAL DO PROJETO</t>
  </si>
  <si>
    <t>RESUMO POR CATEGORIA</t>
  </si>
  <si>
    <t>Categoria</t>
  </si>
  <si>
    <t>Custo único</t>
  </si>
  <si>
    <t>Custo mensal</t>
  </si>
  <si>
    <t>Custo anual</t>
  </si>
  <si>
    <t>Total considerado</t>
  </si>
  <si>
    <t>Funcionários</t>
  </si>
  <si>
    <t>Internet / Serviços</t>
  </si>
  <si>
    <t>TOTAL GERAL</t>
  </si>
  <si>
    <t>CONECTA LAB  |  ORÇAMENTOS</t>
  </si>
  <si>
    <t>Base de pesquisa de preços • mantenha todas as cotações e marque a escolhida</t>
  </si>
  <si>
    <t>Item</t>
  </si>
  <si>
    <t>Empresa</t>
  </si>
  <si>
    <t>Valor do item</t>
  </si>
  <si>
    <t>Frete</t>
  </si>
  <si>
    <t>Valor final</t>
  </si>
  <si>
    <t>Site</t>
  </si>
  <si>
    <t>Escolhido?</t>
  </si>
  <si>
    <t>Observação</t>
  </si>
  <si>
    <t>CONECTA LAB  |  FUNCIONÁRIOS</t>
  </si>
  <si>
    <t>Custos de mão de obra • custo/hora calculado pelo salário mensal informado</t>
  </si>
  <si>
    <t>Funcionário</t>
  </si>
  <si>
    <t>Cargo</t>
  </si>
  <si>
    <t>Salário mensal</t>
  </si>
  <si>
    <t>Horas no projeto</t>
  </si>
  <si>
    <t>Custo/hora</t>
  </si>
  <si>
    <t>Custo no projeto</t>
  </si>
  <si>
    <t>Rebeca</t>
  </si>
  <si>
    <t>Gerente de Projetos / Back-End</t>
  </si>
  <si>
    <t>Ana Luísa</t>
  </si>
  <si>
    <t>Back-End</t>
  </si>
  <si>
    <t>Front-End</t>
  </si>
  <si>
    <t>Designer</t>
  </si>
  <si>
    <t>Analista de Requisitos</t>
  </si>
  <si>
    <t>Documentação</t>
  </si>
  <si>
    <t>TOTAL</t>
  </si>
  <si>
    <t>Quantidade</t>
  </si>
  <si>
    <t>Valor total</t>
  </si>
  <si>
    <t>CONECTA LAB  |  INTERNET / SERVIÇOS</t>
  </si>
  <si>
    <t>Planos, hospedagem, domínio e serviços recorrentes</t>
  </si>
  <si>
    <t>Serviço</t>
  </si>
  <si>
    <t>Plano</t>
  </si>
  <si>
    <t>Mensal</t>
  </si>
  <si>
    <t>Anual</t>
  </si>
  <si>
    <t>Internet</t>
  </si>
  <si>
    <t>Softwares, assinaturas e licenças utilizadas no projeto</t>
  </si>
  <si>
    <t>Sistema / Software</t>
  </si>
  <si>
    <t>Tipo</t>
  </si>
  <si>
    <t>Licença</t>
  </si>
  <si>
    <t>Assinatura</t>
  </si>
  <si>
    <t>🧪  CONECTA LAB  |  RESUMO DE CUSTOS</t>
  </si>
  <si>
    <t>CONECTA LAB  |  SISTEMAS / APPS / SITES</t>
  </si>
  <si>
    <t>Giovanni</t>
  </si>
  <si>
    <t>Emily</t>
  </si>
  <si>
    <t xml:space="preserve">https://www.br.vaio.com/notebook-vaio-fe16-intel-core-i5-1335u-linux-16gb-ram-512gb-ssd-16-ips-wuxga-antirreflexo-cinza-grafite-3344450/p?idsku=61070&amp;utm_source=google&amp;utm_medium=cpc&amp;utm_campaign=smart-shopping-ecom-intel&amp;utm_term=pmx&amp;utm_content=vaio&amp;gad_source=1&amp;gad_campaignid=19241342083&amp;gbraid=0AAAAABxx0sqM5DYemF7UEFvJkQ7q2pQ5h&amp;gclid=CjwKCAjw1vXTBhB-EiwAEKr_k-TbkJoXbK4h1NiVL6YRLb2Vv07q_MpVIZx4eAX9Ewiaze_4KlMUZxoC6X4QAvD_BwE
</t>
  </si>
  <si>
    <t>Vaio</t>
  </si>
  <si>
    <t>https://www.dell.com/pt-br/shop/notebooks-dell/novo-notebook-dell-15/spd/dell-dc15250-laptop/brpdc15250hbtohwjb_x2?dbp=1</t>
  </si>
  <si>
    <t>Notebook Dell 15</t>
  </si>
  <si>
    <t xml:space="preserve">Notebook VAIO </t>
  </si>
  <si>
    <t>Dell</t>
  </si>
  <si>
    <t>Melhor custo-benefício / Linux</t>
  </si>
  <si>
    <t>Windows</t>
  </si>
  <si>
    <t>Knup</t>
  </si>
  <si>
    <t>amazon.com.br/checkout/p/p-703-6038213-7093837/offers?pipelineType=Chewbacca&amp;isBuyNow=1&amp;hasWorkingJavascript=1</t>
  </si>
  <si>
    <t>Mouse Sem Fio Knup</t>
  </si>
  <si>
    <t>https://www.amazon.com.br/Logitech-Bluetooth-Ambidestro-Rastreamento-%20Compat%C3%ADvel/dp/B0DN4RM6X7/ref=sr_1_52adgrpid=130004651884&amp;dib-e%20yl2IjoiMS/9.gXfrQD0NnJkf-Kcr1E0g6qmOmAUVKToU3HNK_iYi6rRzLrpx-%20WH3XM6QwT6Yz5w7UcnwctorAQlyM65tbx3H5YjwdHb8ukSw4hJwC74zaHXHLYCX</t>
  </si>
  <si>
    <t>Mouse sem fio Logitech</t>
  </si>
  <si>
    <t>Logitech</t>
  </si>
  <si>
    <t xml:space="preserve">Melhor custo-benefício </t>
  </si>
  <si>
    <t>Melhor durabilidade</t>
  </si>
  <si>
    <t>ORÇAMENTOS</t>
  </si>
  <si>
    <t>SISTEMAS / APPS / SITES</t>
  </si>
  <si>
    <t>Orçamentos</t>
  </si>
  <si>
    <t>Davi</t>
  </si>
  <si>
    <t>Isabelly</t>
  </si>
  <si>
    <t xml:space="preserve">Quantidade </t>
  </si>
  <si>
    <t>O que oferece</t>
  </si>
  <si>
    <t>Acesso a modelos de inteligência artificial avançados para responder perguntas, escrever textos, resumir documentos, programar e analisar imagens</t>
  </si>
  <si>
    <t>ChatGPT Grátis</t>
  </si>
  <si>
    <t>ChatGPT Plus</t>
  </si>
  <si>
    <t>Acesso prioritário a recursos avançados de IA, maior limite de mensagens em modelos de ponta, geração de imagens mais rápida e ferramentas aprimoradas de pesquisa, análise de dados e memória</t>
  </si>
  <si>
    <t>Gemini Grátis</t>
  </si>
  <si>
    <t>Acesso a modelos de inteligência artificial do Google para criar textos, resumir conteúdos, programar, analisar imagens e buscar informações em tempo real na internet, sem custo algum</t>
  </si>
  <si>
    <t>Acesso máximo aos recursos de IA mais avançados do Google, incluindo os modelos mais eficientes como o Gemini Pro, ferramentas de pesquisa profunda, geração de vídeos com o Veo e alta capacidade de análise de documentos extensos, além de ampla integração com o ecossistema e grande armazenamento em nuvem</t>
  </si>
  <si>
    <t>https://www.microsoft.com/pt-br/microsoft-365/explore-microsoft-365-for-individuals#tabs-pill-bar-oc7d86_tab0</t>
  </si>
  <si>
    <t>ChatGPT</t>
  </si>
  <si>
    <t>Gemini</t>
  </si>
  <si>
    <t>Gemini Plus</t>
  </si>
  <si>
    <t>https://gemini.google/br/subscriptions/?hl=pt-BR</t>
  </si>
  <si>
    <t>https://chatgpt.com/pt-BR/pricing/</t>
  </si>
  <si>
    <t>Microsoft 365 Basic</t>
  </si>
  <si>
    <t>Microsoft 365 Familly</t>
  </si>
  <si>
    <t xml:space="preserve">Microsoft </t>
  </si>
  <si>
    <t>Outlook e One drive</t>
  </si>
  <si>
    <t xml:space="preserve">
https://www.microsoft.com/pt-br/microsoft-365/explore-microsoft-365-for-individuals#tabs-pill-bar-oc7d86_tab0</t>
  </si>
  <si>
    <t>Github</t>
  </si>
  <si>
    <t>https://github.com/pricing</t>
  </si>
  <si>
    <t>Oferece recursos avançados de colaboração, gerenciamento de projetos e ferramentas extras de produtividade para grupos de desenvolvimento que trabalham em uma conta organizacional</t>
  </si>
  <si>
    <t>Github Equipe</t>
  </si>
  <si>
    <t>https://code.visualstudio.com/</t>
  </si>
  <si>
    <t>Visual Studio Code</t>
  </si>
  <si>
    <t>Oferece um ambiente de desenvolvimento completo, gratuito e leve que combina a simplicidade de um editor de texto com recursos avançados de uma IDE</t>
  </si>
  <si>
    <t>Word, Exel, PowerPoint, Planner, Outlook, OneDrive, e todos os outros recursos</t>
  </si>
  <si>
    <t>Canva</t>
  </si>
  <si>
    <t>Permite criar artes, documentos, vídeos e apresentações de forma simples e intuitiva</t>
  </si>
  <si>
    <t>https://www.canva.com/pt_br/precos/</t>
  </si>
  <si>
    <t>Acesso ilimitado a recursos avançados de design, milhões de elementos premium e ferramentas de inteligência artificial para aumentar a produtividade</t>
  </si>
  <si>
    <t>Canva Pro</t>
  </si>
  <si>
    <t>Figma</t>
  </si>
  <si>
    <t>https://www.figma.com/pt-br/pricing/</t>
  </si>
  <si>
    <t>Figma Profissional</t>
  </si>
  <si>
    <t>Recursos avançados de colaboração em tempo real e eliminação de limites de projetos para equipes que criam produtos digitais</t>
  </si>
  <si>
    <t>Acesso à maioria das ferramentas de design e prototipagem da plataforma para uso individual ou testes iniciais</t>
  </si>
  <si>
    <t>600 mega</t>
  </si>
  <si>
    <t>https://internet.vivo.com.br/ofertas/fibra-e-pos/?criteria-id=9220531&amp;gclsrc=aw.ds&amp;gad_source=1&amp;gad_campaignid=18132674136&amp;gbraid=0AAAAADAebch74e4YmakBtCdnZdyRuNEkB&amp;gclid=Cj0KCQjwnbrUBhDOARIsAKKhPpe8JM80aPoNzfyIpkNo-9Lshe48kn2Z6F4dqP7efNu0uh6Thhqfzb0aApwtEALw_wcB</t>
  </si>
  <si>
    <t xml:space="preserve">Internet </t>
  </si>
  <si>
    <t>700 mega</t>
  </si>
  <si>
    <t>1 giga</t>
  </si>
  <si>
    <t>Oque Cada Plano Oferece</t>
  </si>
  <si>
    <t>Escolhido</t>
  </si>
  <si>
    <t>Uso familiar intermediário. Atende bem 10 a 15 dispositivos conectados simultaneamente assistindo a vídeos em 4K, trabalhando em home office e jogando online.</t>
  </si>
  <si>
    <t>Sim</t>
  </si>
  <si>
    <t>Residências conectadas e uso intenso. Ideal para quem faz downloads pesados com frequência, compartilha arquivos grandes e usa muitos dispositivos de casa inteligente.</t>
  </si>
  <si>
    <t>Não</t>
  </si>
  <si>
    <t>Perfis avançados e famílias grandes. Ideal para quem faz streaming em 4K/8K em múltiplas telas ao mesmo tempo, criadores de conteúdo que fazem uploads pesados e gamers que buscam altíssima estabilidade.</t>
  </si>
  <si>
    <t xml:space="preserve">                                                                                                  </t>
  </si>
  <si>
    <t>Descrição</t>
  </si>
  <si>
    <t>Valor</t>
  </si>
  <si>
    <t>Formalização</t>
  </si>
  <si>
    <t>CNPJ / Receita Federal</t>
  </si>
  <si>
    <t>Cadastro da empresa</t>
  </si>
  <si>
    <t>Único</t>
  </si>
  <si>
    <t>Registro da empresa</t>
  </si>
  <si>
    <t>Abertura da empresa</t>
  </si>
  <si>
    <t>Taxas de formalização</t>
  </si>
  <si>
    <t>Tecnologia</t>
  </si>
  <si>
    <t>Domínio do site</t>
  </si>
  <si>
    <t>Endereço do site</t>
  </si>
  <si>
    <t>Hospedagem do sistema</t>
  </si>
  <si>
    <t>Home office</t>
  </si>
  <si>
    <t>Internet paga pela empresa</t>
  </si>
  <si>
    <t>Salários</t>
  </si>
  <si>
    <t>6 funcionários / 500 reais VR</t>
  </si>
  <si>
    <t>Estrutura</t>
  </si>
  <si>
    <t>Investimento inicial</t>
  </si>
  <si>
    <t>Notebook e Mouse</t>
  </si>
  <si>
    <t>Vivo fibra</t>
  </si>
  <si>
    <t>Oferece uma plataforma completa baseada em nuvem para hospedagem de código-fonte, controle de versão com Git e automação de desenvolvimento de software</t>
  </si>
  <si>
    <t>Esclhido?</t>
  </si>
  <si>
    <t>SIm</t>
  </si>
  <si>
    <t>Sistemas / Apps / Sites</t>
  </si>
  <si>
    <t>ABERTURA DA EMPRESA</t>
  </si>
  <si>
    <t>Valor somente mensal (2 meses)</t>
  </si>
  <si>
    <t xml:space="preserve">Valor somente único </t>
  </si>
  <si>
    <t xml:space="preserve">Valor total </t>
  </si>
  <si>
    <t>OBS:  Os valores estão como mensal (4 meses tcc)</t>
  </si>
  <si>
    <t>TOTAL GERAL PRIMEIRO MÊS</t>
  </si>
  <si>
    <t>TOTAL GERAL SEGUNDO MÊS</t>
  </si>
  <si>
    <t>TOTAL GERAL TERCEIRO MÊS</t>
  </si>
  <si>
    <t>TOTAL GERAL QUARTO MÊS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</si>
</sst>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\R\$\ #,##0.00"/>
  </numFmts>
  <fonts count="35"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sz val="10"/>
      <color rgb="FFC99CFF"/>
      <name val="Arial"/>
      <family val="2"/>
    </font>
    <font>
      <b/>
      <sz val="10"/>
      <color rgb="FFFFFFFF"/>
      <name val="Arial"/>
      <family val="2"/>
    </font>
    <font>
      <b/>
      <sz val="12"/>
      <color rgb="FFFFFFFF"/>
      <name val="Arial"/>
      <family val="2"/>
    </font>
    <font>
      <b/>
      <sz val="18"/>
      <color rgb="FF08072F"/>
      <name val="Arial"/>
      <family val="2"/>
    </font>
    <font>
      <b/>
      <sz val="12"/>
      <color rgb="FF08072F"/>
      <name val="Arial"/>
      <family val="2"/>
    </font>
    <font>
      <b/>
      <sz val="11"/>
      <color rgb="FFFFFFFF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FFFFFF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10"/>
      <color rgb="FFC99CFF"/>
      <name val="Arial"/>
      <family val="2"/>
    </font>
    <font>
      <b/>
      <sz val="11"/>
      <color rgb="FFFFFFFF"/>
      <name val="Arial"/>
      <family val="2"/>
    </font>
    <font>
      <sz val="11"/>
      <color rgb="FF000000"/>
      <name val="Calibri"/>
      <family val="2"/>
      <scheme val="minor"/>
    </font>
    <font>
      <sz val="11"/>
      <color rgb="FF000000"/>
      <name val="Google Sans Text"/>
      <charset val="1"/>
    </font>
    <font>
      <b/>
      <sz val="16"/>
      <color rgb="FFFFFFFF"/>
      <name val="Arial"/>
      <family val="2"/>
    </font>
    <font>
      <sz val="11"/>
      <color rgb="FFFFFFF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FFFFFF"/>
      <name val="Arial"/>
      <family val="2"/>
    </font>
    <font>
      <sz val="18"/>
      <color theme="0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8"/>
      <color theme="0"/>
      <name val="Arial"/>
      <family val="2"/>
    </font>
    <font>
      <b/>
      <sz val="16"/>
      <color theme="0"/>
      <name val="Arial"/>
      <family val="2"/>
    </font>
    <font>
      <sz val="11"/>
      <color rgb="FFC99CFF"/>
      <name val="Arial"/>
      <family val="2"/>
    </font>
    <font>
      <u/>
      <sz val="12"/>
      <color theme="10"/>
      <name val="Arial"/>
      <family val="2"/>
    </font>
    <font>
      <b/>
      <sz val="12"/>
      <color theme="1"/>
      <name val="Arial"/>
      <family val="2"/>
    </font>
    <font>
      <u/>
      <sz val="12"/>
      <color rgb="FF0070C0"/>
      <name val="Arial"/>
      <family val="2"/>
    </font>
    <font>
      <sz val="11"/>
      <name val="Arial"/>
      <family val="2"/>
    </font>
    <font>
      <sz val="18"/>
      <color theme="1"/>
      <name val="Calibri"/>
      <family val="2"/>
      <scheme val="minor"/>
    </font>
    <font>
      <b/>
      <sz val="14"/>
      <color rgb="FF08072F"/>
      <name val="Arial"/>
      <family val="2"/>
    </font>
    <font>
      <b/>
      <sz val="14"/>
      <color theme="1"/>
      <name val="Arial"/>
      <family val="2"/>
    </font>
    <font>
      <b/>
      <sz val="11"/>
      <color theme="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08072F"/>
      </patternFill>
    </fill>
    <fill>
      <patternFill patternType="solid">
        <fgColor rgb="FF11113D"/>
      </patternFill>
    </fill>
    <fill>
      <patternFill patternType="solid">
        <fgColor rgb="FFEC3C70"/>
      </patternFill>
    </fill>
    <fill>
      <patternFill patternType="solid">
        <fgColor rgb="FF57C84D"/>
      </patternFill>
    </fill>
    <fill>
      <patternFill patternType="solid">
        <fgColor rgb="FFFFFFFF"/>
      </patternFill>
    </fill>
    <fill>
      <patternFill patternType="solid">
        <fgColor rgb="FFF7F7FA"/>
      </patternFill>
    </fill>
    <fill>
      <patternFill patternType="solid">
        <fgColor rgb="FF08072F"/>
        <bgColor indexed="64"/>
      </patternFill>
    </fill>
    <fill>
      <patternFill patternType="solid">
        <fgColor rgb="FFFFB6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99CFF"/>
        <bgColor indexed="64"/>
      </patternFill>
    </fill>
    <fill>
      <patternFill patternType="solid">
        <fgColor rgb="FFF7F7FA"/>
        <bgColor indexed="64"/>
      </patternFill>
    </fill>
    <fill>
      <patternFill patternType="solid">
        <fgColor rgb="FFC99CFF"/>
        <bgColor rgb="FF000000"/>
      </patternFill>
    </fill>
    <fill>
      <patternFill patternType="solid">
        <fgColor rgb="FFF7F7FA"/>
        <bgColor rgb="FF000000"/>
      </patternFill>
    </fill>
    <fill>
      <patternFill patternType="solid">
        <fgColor rgb="FF08072F"/>
        <bgColor rgb="FF000000"/>
      </patternFill>
    </fill>
    <fill>
      <patternFill patternType="solid">
        <fgColor rgb="FF11113D"/>
        <bgColor rgb="FF000000"/>
      </patternFill>
    </fill>
    <fill>
      <patternFill patternType="solid">
        <fgColor rgb="FFC00000"/>
        <bgColor indexed="64"/>
      </patternFill>
    </fill>
  </fills>
  <borders count="8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medium">
        <color rgb="FFC99C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medium">
        <color rgb="FFC99CFF"/>
      </top>
      <bottom/>
      <diagonal/>
    </border>
    <border>
      <left style="thin">
        <color rgb="FFFFFFFF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8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139">
    <xf numFmtId="0" fontId="0" fillId="0" borderId="0" xfId="0"/>
    <xf numFmtId="0" fontId="1" fillId="2" borderId="2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6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0" fillId="8" borderId="0" xfId="0" applyFill="1"/>
    <xf numFmtId="0" fontId="1" fillId="8" borderId="2" xfId="0" applyFont="1" applyFill="1" applyBorder="1" applyAlignment="1">
      <alignment horizontal="left" vertical="center"/>
    </xf>
    <xf numFmtId="0" fontId="0" fillId="8" borderId="2" xfId="0" applyFill="1" applyBorder="1"/>
    <xf numFmtId="0" fontId="9" fillId="0" borderId="1" xfId="2" applyBorder="1" applyAlignment="1">
      <alignment horizontal="left" vertical="center" wrapText="1"/>
    </xf>
    <xf numFmtId="0" fontId="0" fillId="0" borderId="0" xfId="0" applyAlignment="1">
      <alignment vertical="center"/>
    </xf>
    <xf numFmtId="44" fontId="0" fillId="0" borderId="0" xfId="1" applyFont="1" applyFill="1" applyAlignment="1">
      <alignment vertical="center"/>
    </xf>
    <xf numFmtId="0" fontId="0" fillId="0" borderId="2" xfId="0" applyBorder="1"/>
    <xf numFmtId="0" fontId="0" fillId="12" borderId="0" xfId="0" applyFill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8" fontId="15" fillId="0" borderId="1" xfId="0" applyNumberFormat="1" applyFont="1" applyBorder="1" applyAlignment="1">
      <alignment horizontal="center" vertical="center" wrapText="1"/>
    </xf>
    <xf numFmtId="0" fontId="15" fillId="14" borderId="0" xfId="0" applyFont="1" applyFill="1" applyAlignment="1">
      <alignment horizontal="center" vertical="center"/>
    </xf>
    <xf numFmtId="0" fontId="15" fillId="14" borderId="1" xfId="0" applyFont="1" applyFill="1" applyBorder="1" applyAlignment="1">
      <alignment horizontal="center" vertical="center" wrapText="1"/>
    </xf>
    <xf numFmtId="8" fontId="15" fillId="14" borderId="1" xfId="0" applyNumberFormat="1" applyFont="1" applyFill="1" applyBorder="1" applyAlignment="1">
      <alignment horizontal="center" vertical="center" wrapText="1"/>
    </xf>
    <xf numFmtId="0" fontId="9" fillId="14" borderId="1" xfId="2" applyFill="1" applyBorder="1" applyAlignment="1">
      <alignment horizontal="left" vertical="center" wrapText="1"/>
    </xf>
    <xf numFmtId="0" fontId="9" fillId="0" borderId="4" xfId="2" applyBorder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center" vertical="center"/>
    </xf>
    <xf numFmtId="0" fontId="15" fillId="14" borderId="0" xfId="0" applyFont="1" applyFill="1" applyAlignment="1">
      <alignment horizontal="left" vertical="center" wrapText="1"/>
    </xf>
    <xf numFmtId="0" fontId="16" fillId="0" borderId="0" xfId="0" applyFont="1" applyAlignment="1">
      <alignment horizontal="left" wrapText="1"/>
    </xf>
    <xf numFmtId="0" fontId="15" fillId="0" borderId="0" xfId="0" applyFont="1"/>
    <xf numFmtId="0" fontId="18" fillId="13" borderId="0" xfId="0" applyFont="1" applyFill="1" applyAlignment="1">
      <alignment horizontal="center" vertical="center"/>
    </xf>
    <xf numFmtId="8" fontId="15" fillId="0" borderId="0" xfId="0" applyNumberFormat="1" applyFont="1"/>
    <xf numFmtId="0" fontId="15" fillId="0" borderId="0" xfId="0" applyFont="1" applyAlignment="1">
      <alignment vertical="center"/>
    </xf>
    <xf numFmtId="0" fontId="20" fillId="3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vertical="center" wrapText="1"/>
    </xf>
    <xf numFmtId="164" fontId="23" fillId="0" borderId="1" xfId="0" applyNumberFormat="1" applyFont="1" applyBorder="1" applyAlignment="1">
      <alignment vertical="center" wrapText="1"/>
    </xf>
    <xf numFmtId="0" fontId="23" fillId="12" borderId="1" xfId="0" applyFont="1" applyFill="1" applyBorder="1" applyAlignment="1">
      <alignment vertical="center" wrapText="1"/>
    </xf>
    <xf numFmtId="164" fontId="23" fillId="12" borderId="1" xfId="0" applyNumberFormat="1" applyFont="1" applyFill="1" applyBorder="1" applyAlignment="1">
      <alignment vertical="center" wrapText="1"/>
    </xf>
    <xf numFmtId="0" fontId="23" fillId="0" borderId="0" xfId="0" applyFont="1"/>
    <xf numFmtId="0" fontId="20" fillId="2" borderId="0" xfId="0" applyFont="1" applyFill="1"/>
    <xf numFmtId="0" fontId="23" fillId="8" borderId="0" xfId="0" applyFont="1" applyFill="1"/>
    <xf numFmtId="164" fontId="20" fillId="2" borderId="0" xfId="0" applyNumberFormat="1" applyFont="1" applyFill="1"/>
    <xf numFmtId="0" fontId="23" fillId="0" borderId="1" xfId="0" applyFont="1" applyBorder="1" applyAlignment="1">
      <alignment horizontal="center" vertical="center" wrapText="1"/>
    </xf>
    <xf numFmtId="0" fontId="23" fillId="12" borderId="1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4" fillId="8" borderId="0" xfId="0" applyFont="1" applyFill="1" applyAlignment="1">
      <alignment horizontal="left" vertical="center"/>
    </xf>
    <xf numFmtId="0" fontId="21" fillId="8" borderId="0" xfId="0" applyFont="1" applyFill="1"/>
    <xf numFmtId="44" fontId="24" fillId="8" borderId="0" xfId="1" applyFont="1" applyFill="1" applyAlignment="1">
      <alignment horizontal="right" vertical="center"/>
    </xf>
    <xf numFmtId="0" fontId="25" fillId="8" borderId="0" xfId="0" applyFont="1" applyFill="1"/>
    <xf numFmtId="44" fontId="25" fillId="8" borderId="0" xfId="1" applyFont="1" applyFill="1"/>
    <xf numFmtId="44" fontId="23" fillId="12" borderId="0" xfId="1" applyFont="1" applyFill="1" applyAlignment="1">
      <alignment horizontal="center" vertical="center"/>
    </xf>
    <xf numFmtId="44" fontId="23" fillId="0" borderId="1" xfId="1" applyFont="1" applyBorder="1" applyAlignment="1">
      <alignment vertical="center" wrapText="1"/>
    </xf>
    <xf numFmtId="0" fontId="23" fillId="0" borderId="1" xfId="2" applyNumberFormat="1" applyFont="1" applyBorder="1" applyAlignment="1">
      <alignment horizontal="center" vertical="center" wrapText="1"/>
    </xf>
    <xf numFmtId="44" fontId="23" fillId="0" borderId="0" xfId="1" applyFont="1" applyAlignment="1">
      <alignment vertical="center"/>
    </xf>
    <xf numFmtId="0" fontId="23" fillId="0" borderId="0" xfId="0" applyFont="1" applyAlignment="1">
      <alignment horizontal="left" vertical="center" wrapText="1"/>
    </xf>
    <xf numFmtId="0" fontId="27" fillId="0" borderId="1" xfId="2" applyFont="1" applyBorder="1" applyAlignment="1">
      <alignment horizontal="left" vertical="center" wrapText="1"/>
    </xf>
    <xf numFmtId="44" fontId="23" fillId="12" borderId="1" xfId="1" applyFont="1" applyFill="1" applyBorder="1" applyAlignment="1">
      <alignment vertical="center" wrapText="1"/>
    </xf>
    <xf numFmtId="44" fontId="23" fillId="12" borderId="0" xfId="1" applyFont="1" applyFill="1" applyAlignment="1">
      <alignment vertical="center"/>
    </xf>
    <xf numFmtId="0" fontId="23" fillId="12" borderId="0" xfId="0" applyFont="1" applyFill="1" applyAlignment="1">
      <alignment vertical="center" wrapText="1"/>
    </xf>
    <xf numFmtId="0" fontId="27" fillId="12" borderId="1" xfId="2" applyFont="1" applyFill="1" applyBorder="1" applyAlignment="1">
      <alignment horizontal="left" vertical="center" wrapText="1"/>
    </xf>
    <xf numFmtId="44" fontId="23" fillId="0" borderId="1" xfId="1" applyFont="1" applyFill="1" applyBorder="1" applyAlignment="1">
      <alignment vertical="center" wrapText="1"/>
    </xf>
    <xf numFmtId="44" fontId="23" fillId="0" borderId="0" xfId="1" applyFont="1" applyFill="1" applyAlignment="1">
      <alignment vertical="center"/>
    </xf>
    <xf numFmtId="0" fontId="27" fillId="0" borderId="1" xfId="2" applyFont="1" applyFill="1" applyBorder="1" applyAlignment="1">
      <alignment horizontal="left" vertical="center" wrapText="1"/>
    </xf>
    <xf numFmtId="0" fontId="23" fillId="12" borderId="0" xfId="0" applyFont="1" applyFill="1" applyAlignment="1">
      <alignment horizontal="left" vertical="center" wrapText="1"/>
    </xf>
    <xf numFmtId="0" fontId="27" fillId="12" borderId="0" xfId="2" applyFont="1" applyFill="1" applyAlignment="1">
      <alignment horizontal="left" vertical="center" wrapText="1"/>
    </xf>
    <xf numFmtId="0" fontId="23" fillId="0" borderId="0" xfId="0" applyFont="1" applyAlignment="1">
      <alignment vertical="center" wrapText="1"/>
    </xf>
    <xf numFmtId="0" fontId="27" fillId="0" borderId="0" xfId="2" applyFont="1" applyFill="1" applyAlignment="1">
      <alignment horizontal="left" vertical="center"/>
    </xf>
    <xf numFmtId="44" fontId="23" fillId="12" borderId="1" xfId="1" applyFont="1" applyFill="1" applyBorder="1" applyAlignment="1">
      <alignment horizontal="center" vertical="center" wrapText="1"/>
    </xf>
    <xf numFmtId="44" fontId="23" fillId="0" borderId="1" xfId="1" applyFont="1" applyFill="1" applyBorder="1" applyAlignment="1">
      <alignment horizontal="center" vertical="center" wrapText="1"/>
    </xf>
    <xf numFmtId="0" fontId="27" fillId="12" borderId="0" xfId="2" applyFont="1" applyFill="1" applyAlignment="1">
      <alignment horizontal="left" vertical="center"/>
    </xf>
    <xf numFmtId="0" fontId="23" fillId="12" borderId="3" xfId="0" applyFont="1" applyFill="1" applyBorder="1" applyAlignment="1">
      <alignment vertical="center" wrapText="1"/>
    </xf>
    <xf numFmtId="0" fontId="23" fillId="0" borderId="3" xfId="0" applyFont="1" applyBorder="1" applyAlignment="1">
      <alignment vertical="center" wrapText="1"/>
    </xf>
    <xf numFmtId="0" fontId="28" fillId="0" borderId="1" xfId="0" applyFont="1" applyBorder="1" applyAlignment="1">
      <alignment vertical="center" wrapText="1"/>
    </xf>
    <xf numFmtId="0" fontId="28" fillId="7" borderId="1" xfId="0" applyFont="1" applyFill="1" applyBorder="1" applyAlignment="1">
      <alignment vertical="center" wrapText="1"/>
    </xf>
    <xf numFmtId="0" fontId="23" fillId="7" borderId="1" xfId="0" applyFont="1" applyFill="1" applyBorder="1" applyAlignment="1">
      <alignment vertical="center" wrapText="1"/>
    </xf>
    <xf numFmtId="44" fontId="23" fillId="7" borderId="1" xfId="1" applyFont="1" applyFill="1" applyBorder="1" applyAlignment="1">
      <alignment vertical="center" wrapText="1"/>
    </xf>
    <xf numFmtId="164" fontId="23" fillId="7" borderId="1" xfId="0" applyNumberFormat="1" applyFont="1" applyFill="1" applyBorder="1" applyAlignment="1">
      <alignment vertical="center" wrapText="1"/>
    </xf>
    <xf numFmtId="0" fontId="23" fillId="7" borderId="1" xfId="0" applyFont="1" applyFill="1" applyBorder="1" applyAlignment="1">
      <alignment horizontal="center" vertical="center" wrapText="1"/>
    </xf>
    <xf numFmtId="0" fontId="27" fillId="7" borderId="1" xfId="2" applyFont="1" applyFill="1" applyBorder="1" applyAlignment="1">
      <alignment vertical="center" wrapText="1"/>
    </xf>
    <xf numFmtId="0" fontId="27" fillId="0" borderId="1" xfId="2" applyFont="1" applyBorder="1" applyAlignment="1">
      <alignment vertical="center" wrapText="1"/>
    </xf>
    <xf numFmtId="44" fontId="23" fillId="0" borderId="1" xfId="1" applyFont="1" applyBorder="1" applyAlignment="1">
      <alignment horizontal="center" vertical="center" wrapText="1"/>
    </xf>
    <xf numFmtId="44" fontId="23" fillId="7" borderId="1" xfId="1" applyFont="1" applyFill="1" applyBorder="1" applyAlignment="1">
      <alignment horizontal="center" vertical="center" wrapText="1"/>
    </xf>
    <xf numFmtId="0" fontId="27" fillId="7" borderId="1" xfId="2" applyFont="1" applyFill="1" applyBorder="1" applyAlignment="1">
      <alignment horizontal="left" vertical="center" wrapText="1"/>
    </xf>
    <xf numFmtId="0" fontId="29" fillId="0" borderId="1" xfId="0" applyFont="1" applyBorder="1" applyAlignment="1">
      <alignment vertical="center" wrapText="1"/>
    </xf>
    <xf numFmtId="0" fontId="20" fillId="15" borderId="1" xfId="0" applyFont="1" applyFill="1" applyBorder="1" applyAlignment="1">
      <alignment horizontal="center" vertical="center" wrapText="1"/>
    </xf>
    <xf numFmtId="0" fontId="20" fillId="8" borderId="1" xfId="0" applyFont="1" applyFill="1" applyBorder="1" applyAlignment="1">
      <alignment horizontal="center" vertical="center" wrapText="1"/>
    </xf>
    <xf numFmtId="0" fontId="20" fillId="8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4" fontId="0" fillId="0" borderId="0" xfId="1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14" fillId="2" borderId="0" xfId="0" applyFont="1" applyFill="1" applyAlignment="1">
      <alignment vertical="center"/>
    </xf>
    <xf numFmtId="164" fontId="7" fillId="2" borderId="0" xfId="0" applyNumberFormat="1" applyFont="1" applyFill="1" applyAlignment="1">
      <alignment vertical="center"/>
    </xf>
    <xf numFmtId="44" fontId="0" fillId="0" borderId="0" xfId="0" applyNumberFormat="1"/>
    <xf numFmtId="0" fontId="19" fillId="11" borderId="0" xfId="0" applyFont="1" applyFill="1" applyAlignment="1">
      <alignment horizontal="center"/>
    </xf>
    <xf numFmtId="0" fontId="19" fillId="11" borderId="0" xfId="0" applyFont="1" applyFill="1" applyAlignment="1">
      <alignment horizontal="center" vertical="center"/>
    </xf>
    <xf numFmtId="44" fontId="15" fillId="0" borderId="0" xfId="1" applyFont="1" applyAlignment="1">
      <alignment vertical="center"/>
    </xf>
    <xf numFmtId="44" fontId="15" fillId="0" borderId="0" xfId="1" applyFont="1"/>
    <xf numFmtId="0" fontId="15" fillId="11" borderId="0" xfId="0" applyFont="1" applyFill="1" applyAlignment="1">
      <alignment vertical="center"/>
    </xf>
    <xf numFmtId="44" fontId="15" fillId="11" borderId="0" xfId="1" applyFont="1" applyFill="1"/>
    <xf numFmtId="0" fontId="31" fillId="8" borderId="0" xfId="0" applyFont="1" applyFill="1"/>
    <xf numFmtId="44" fontId="31" fillId="8" borderId="0" xfId="1" applyFont="1" applyFill="1"/>
    <xf numFmtId="0" fontId="31" fillId="8" borderId="0" xfId="0" applyFont="1" applyFill="1" applyAlignment="1">
      <alignment vertical="center"/>
    </xf>
    <xf numFmtId="0" fontId="31" fillId="8" borderId="0" xfId="0" applyFont="1" applyFill="1" applyAlignment="1">
      <alignment horizontal="left"/>
    </xf>
    <xf numFmtId="44" fontId="24" fillId="8" borderId="0" xfId="1" applyFont="1" applyFill="1" applyAlignment="1">
      <alignment vertical="center"/>
    </xf>
    <xf numFmtId="0" fontId="22" fillId="0" borderId="1" xfId="0" applyFont="1" applyBorder="1" applyAlignment="1">
      <alignment horizontal="left" vertical="center" wrapText="1"/>
    </xf>
    <xf numFmtId="0" fontId="22" fillId="12" borderId="1" xfId="0" applyFont="1" applyFill="1" applyBorder="1" applyAlignment="1">
      <alignment horizontal="left" vertical="center" wrapText="1"/>
    </xf>
    <xf numFmtId="0" fontId="30" fillId="0" borderId="0" xfId="0" applyFont="1" applyAlignment="1">
      <alignment horizontal="left" vertical="center"/>
    </xf>
    <xf numFmtId="44" fontId="22" fillId="0" borderId="1" xfId="1" applyFont="1" applyBorder="1" applyAlignment="1">
      <alignment horizontal="left" vertical="center" wrapText="1"/>
    </xf>
    <xf numFmtId="44" fontId="22" fillId="0" borderId="1" xfId="1" applyFont="1" applyFill="1" applyBorder="1" applyAlignment="1">
      <alignment horizontal="left" vertical="center" wrapText="1"/>
    </xf>
    <xf numFmtId="44" fontId="22" fillId="12" borderId="1" xfId="1" applyFont="1" applyFill="1" applyBorder="1" applyAlignment="1">
      <alignment horizontal="left" vertical="center" wrapText="1"/>
    </xf>
    <xf numFmtId="44" fontId="30" fillId="0" borderId="0" xfId="1" applyFont="1" applyFill="1" applyAlignment="1">
      <alignment horizontal="left" vertical="center"/>
    </xf>
    <xf numFmtId="44" fontId="30" fillId="0" borderId="1" xfId="1" applyFont="1" applyBorder="1" applyAlignment="1">
      <alignment horizontal="left" vertical="center" wrapText="1"/>
    </xf>
    <xf numFmtId="44" fontId="34" fillId="8" borderId="7" xfId="1" applyFont="1" applyFill="1" applyBorder="1" applyAlignment="1">
      <alignment vertical="center"/>
    </xf>
    <xf numFmtId="44" fontId="34" fillId="8" borderId="7" xfId="1" applyFont="1" applyFill="1" applyBorder="1" applyAlignment="1">
      <alignment horizontal="center" vertical="center"/>
    </xf>
    <xf numFmtId="44" fontId="34" fillId="17" borderId="7" xfId="0" applyNumberFormat="1" applyFont="1" applyFill="1" applyBorder="1" applyAlignment="1">
      <alignment vertical="center"/>
    </xf>
    <xf numFmtId="0" fontId="26" fillId="3" borderId="0" xfId="0" applyFont="1" applyFill="1" applyAlignment="1">
      <alignment horizontal="left" vertical="center"/>
    </xf>
    <xf numFmtId="0" fontId="0" fillId="0" borderId="0" xfId="0"/>
    <xf numFmtId="0" fontId="1" fillId="2" borderId="2" xfId="0" applyFont="1" applyFill="1" applyBorder="1" applyAlignment="1">
      <alignment horizontal="left" vertical="center"/>
    </xf>
    <xf numFmtId="0" fontId="0" fillId="0" borderId="2" xfId="0" applyBorder="1"/>
    <xf numFmtId="0" fontId="34" fillId="8" borderId="7" xfId="0" applyFont="1" applyFill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34" fillId="17" borderId="7" xfId="0" applyFont="1" applyFill="1" applyBorder="1" applyAlignment="1">
      <alignment horizontal="left" vertical="center"/>
    </xf>
    <xf numFmtId="0" fontId="0" fillId="17" borderId="7" xfId="0" applyFill="1" applyBorder="1" applyAlignment="1">
      <alignment horizontal="left" vertical="center"/>
    </xf>
    <xf numFmtId="0" fontId="3" fillId="8" borderId="6" xfId="0" applyFont="1" applyFill="1" applyBorder="1" applyAlignment="1">
      <alignment horizontal="center" vertical="center" wrapText="1"/>
    </xf>
    <xf numFmtId="0" fontId="11" fillId="11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164" fontId="5" fillId="6" borderId="0" xfId="0" applyNumberFormat="1" applyFont="1" applyFill="1" applyAlignment="1">
      <alignment horizontal="center"/>
    </xf>
    <xf numFmtId="44" fontId="33" fillId="0" borderId="0" xfId="1" applyFont="1" applyAlignment="1">
      <alignment vertical="center"/>
    </xf>
    <xf numFmtId="44" fontId="33" fillId="0" borderId="0" xfId="1" applyFont="1" applyAlignment="1">
      <alignment horizontal="center" vertical="center"/>
    </xf>
    <xf numFmtId="0" fontId="11" fillId="10" borderId="0" xfId="0" applyFont="1" applyFill="1" applyAlignment="1">
      <alignment horizontal="center"/>
    </xf>
    <xf numFmtId="0" fontId="12" fillId="10" borderId="0" xfId="0" applyFont="1" applyFill="1" applyAlignment="1">
      <alignment horizontal="center"/>
    </xf>
    <xf numFmtId="0" fontId="1" fillId="8" borderId="2" xfId="0" applyFont="1" applyFill="1" applyBorder="1" applyAlignment="1">
      <alignment horizontal="left" vertical="center"/>
    </xf>
    <xf numFmtId="0" fontId="0" fillId="8" borderId="2" xfId="0" applyFill="1" applyBorder="1"/>
    <xf numFmtId="44" fontId="32" fillId="0" borderId="0" xfId="1" applyFont="1" applyAlignment="1">
      <alignment horizontal="center" vertical="center"/>
    </xf>
    <xf numFmtId="0" fontId="3" fillId="4" borderId="0" xfId="0" applyFont="1" applyFill="1" applyAlignment="1">
      <alignment horizontal="center"/>
    </xf>
    <xf numFmtId="0" fontId="2" fillId="8" borderId="0" xfId="0" applyFont="1" applyFill="1" applyAlignment="1">
      <alignment horizontal="left" vertical="center"/>
    </xf>
    <xf numFmtId="0" fontId="0" fillId="8" borderId="0" xfId="0" applyFill="1"/>
    <xf numFmtId="0" fontId="10" fillId="9" borderId="0" xfId="0" applyFont="1" applyFill="1" applyAlignment="1">
      <alignment horizontal="center"/>
    </xf>
    <xf numFmtId="0" fontId="10" fillId="5" borderId="0" xfId="0" applyFont="1" applyFill="1" applyAlignment="1">
      <alignment horizontal="center"/>
    </xf>
    <xf numFmtId="0" fontId="2" fillId="3" borderId="0" xfId="0" applyFont="1" applyFill="1" applyAlignment="1">
      <alignment horizontal="left" vertical="center"/>
    </xf>
    <xf numFmtId="0" fontId="17" fillId="15" borderId="2" xfId="0" applyFont="1" applyFill="1" applyBorder="1" applyAlignment="1">
      <alignment horizontal="left" vertical="center"/>
    </xf>
    <xf numFmtId="0" fontId="13" fillId="16" borderId="5" xfId="0" applyFont="1" applyFill="1" applyBorder="1" applyAlignment="1">
      <alignment horizontal="left" vertical="center"/>
    </xf>
  </cellXfs>
  <cellStyles count="3">
    <cellStyle name="Hiperlink" xfId="2" builtinId="8"/>
    <cellStyle name="Moeda" xfId="1" builtinId="4"/>
    <cellStyle name="Normal" xfId="0" builtinId="0"/>
  </cellStyles>
  <dxfs count="0"/>
  <tableStyles count="0" defaultTableStyle="TableStyleMedium9" defaultPivotStyle="PivotStyleLight16"/>
  <colors>
    <mruColors>
      <color rgb="FF08072F"/>
      <color rgb="FFC99CFF"/>
      <color rgb="FFF7F7FA"/>
      <color rgb="FF000000"/>
      <color rgb="FFFFB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azon.com.br/Logitech-Bluetooth-Ambidestro-Rastreamento-%20Compat%C3%ADvel/dp/B0DN4RM6X7/ref=sr_1_52adgrpid=130004651884&amp;dib-e%20yl2IjoiMS/9.gXfrQD0NnJkf-Kcr1E0g6qmOmAUVKToU3HNK_iYi6rRzLrpx-%20WH3XM6QwT6Yz5w7UcnwctorAQlyM65tbx3H5YjwdHb8ukSw4hJwC74zaHXHLYCX" TargetMode="External"/><Relationship Id="rId2" Type="http://schemas.openxmlformats.org/officeDocument/2006/relationships/hyperlink" Target="https://www.dell.com/pt-br/shop/notebooks-dell/novo-notebook-dell-15/spd/dell-dc15250-laptop/brpdc15250hbtohwjb_x2?dbp=1" TargetMode="External"/><Relationship Id="rId1" Type="http://schemas.openxmlformats.org/officeDocument/2006/relationships/hyperlink" Target="https://www.br.vaio.com/notebook-vaio-fe16-intel-core-i5-1335u-linux-16gb-ram-512gb-ssd-16-ips-wuxga-antirreflexo-cinza-grafite-3344450/p?idsku=61070&amp;utm_source=google&amp;utm_medium=cpc&amp;utm_campaign=smart-shopping-ecom-intel&amp;utm_term=pmx&amp;utm_content=vaio&amp;gad_source=1&amp;gad_campaignid=19241342083&amp;gbraid=0AAAAABxx0sqM5DYemF7UEFvJkQ7q2pQ5h&amp;gclid=CjwKCAjw1vXTBhB-EiwAEKr_k-TbkJoXbK4h1NiVL6YRLb2Vv07q_MpVIZx4eAX9Ewiaze_4KlMUZxoC6X4QAvD_BwE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internet.vivo.com.br/ofertas/fibra-e-pos/?criteria-id=9220531&amp;gclsrc=aw.ds&amp;gad_source=1&amp;gad_campaignid=18132674136&amp;gbraid=0AAAAADAebch74e4YmakBtCdnZdyRuNEkB&amp;gclid=Cj0KCQjwnbrUBhDOARIsAKKhPpe8JM80aPoNzfyIpkNo-9Lshe48kn2Z6F4dqP7efNu0uh6Thhqfzb0aApwtEALw_wcB" TargetMode="External"/><Relationship Id="rId2" Type="http://schemas.openxmlformats.org/officeDocument/2006/relationships/hyperlink" Target="https://internet.vivo.com.br/ofertas/fibra-e-pos/?criteria-id=9220531&amp;gclsrc=aw.ds&amp;gad_source=1&amp;gad_campaignid=18132674136&amp;gbraid=0AAAAADAebch74e4YmakBtCdnZdyRuNEkB&amp;gclid=Cj0KCQjwnbrUBhDOARIsAKKhPpe8JM80aPoNzfyIpkNo-9Lshe48kn2Z6F4dqP7efNu0uh6Thhqfzb0aApwtEALw_wcB" TargetMode="External"/><Relationship Id="rId1" Type="http://schemas.openxmlformats.org/officeDocument/2006/relationships/hyperlink" Target="https://internet.vivo.com.br/ofertas/fibra-e-pos/?criteria-id=9220531&amp;gclsrc=aw.ds&amp;gad_source=1&amp;gad_campaignid=18132674136&amp;gbraid=0AAAAADAebch74e4YmakBtCdnZdyRuNEkB&amp;gclid=Cj0KCQjwnbrUBhDOARIsAKKhPpe8JM80aPoNzfyIpkNo-9Lshe48kn2Z6F4dqP7efNu0uh6Thhqfzb0aApwtEALw_wcB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code.visualstudio.com/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gemini.google/br/subscriptions/?hl=pt-BR" TargetMode="External"/><Relationship Id="rId7" Type="http://schemas.openxmlformats.org/officeDocument/2006/relationships/hyperlink" Target="https://github.com/pricing" TargetMode="External"/><Relationship Id="rId12" Type="http://schemas.openxmlformats.org/officeDocument/2006/relationships/hyperlink" Target="https://www.figma.com/pt-br/pricing/" TargetMode="External"/><Relationship Id="rId2" Type="http://schemas.openxmlformats.org/officeDocument/2006/relationships/hyperlink" Target="https://chatgpt.com/pt-BR/pricing/" TargetMode="External"/><Relationship Id="rId1" Type="http://schemas.openxmlformats.org/officeDocument/2006/relationships/hyperlink" Target="https://www.microsoft.com/pt-br/microsoft-365/explore-microsoft-365-for-individuals" TargetMode="External"/><Relationship Id="rId6" Type="http://schemas.openxmlformats.org/officeDocument/2006/relationships/hyperlink" Target="https://github.com/pricing" TargetMode="External"/><Relationship Id="rId11" Type="http://schemas.openxmlformats.org/officeDocument/2006/relationships/hyperlink" Target="https://www.figma.com/pt-br/pricing/" TargetMode="External"/><Relationship Id="rId5" Type="http://schemas.openxmlformats.org/officeDocument/2006/relationships/hyperlink" Target="https://chatgpt.com/pt-BR/pricing/" TargetMode="External"/><Relationship Id="rId10" Type="http://schemas.openxmlformats.org/officeDocument/2006/relationships/hyperlink" Target="https://www.canva.com/pt_br/precos/" TargetMode="External"/><Relationship Id="rId4" Type="http://schemas.openxmlformats.org/officeDocument/2006/relationships/hyperlink" Target="https://gemini.google/br/subscriptions/?hl=pt-BR" TargetMode="External"/><Relationship Id="rId9" Type="http://schemas.openxmlformats.org/officeDocument/2006/relationships/hyperlink" Target="https://www.canva.com/pt_br/preco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8072F"/>
  </sheetPr>
  <dimension ref="A1:J16"/>
  <sheetViews>
    <sheetView showGridLines="0" zoomScale="90" workbookViewId="0">
      <pane ySplit="4" topLeftCell="A5" activePane="bottomLeft" state="frozen"/>
      <selection pane="bottomLeft" activeCell="J16" sqref="J16"/>
    </sheetView>
  </sheetViews>
  <sheetFormatPr defaultRowHeight="14.5"/>
  <cols>
    <col min="1" max="1" width="23.6328125" customWidth="1"/>
    <col min="2" max="4" width="20" customWidth="1"/>
    <col min="5" max="5" width="19.90625" customWidth="1"/>
    <col min="6" max="10" width="20" customWidth="1"/>
  </cols>
  <sheetData>
    <row r="1" spans="1:10" ht="30" customHeight="1" thickBot="1">
      <c r="A1" s="128" t="s">
        <v>54</v>
      </c>
      <c r="B1" s="129"/>
      <c r="C1" s="129"/>
      <c r="D1" s="129"/>
      <c r="E1" s="129"/>
      <c r="F1" s="129"/>
      <c r="G1" s="6"/>
      <c r="H1" s="7"/>
      <c r="I1" s="7"/>
      <c r="J1" s="7"/>
    </row>
    <row r="2" spans="1:10" ht="21.9" customHeight="1">
      <c r="A2" s="132" t="s">
        <v>0</v>
      </c>
      <c r="B2" s="133"/>
      <c r="C2" s="133"/>
      <c r="D2" s="133"/>
      <c r="E2" s="133"/>
      <c r="F2" s="133"/>
      <c r="G2" s="5"/>
      <c r="H2" s="5"/>
      <c r="I2" s="5"/>
      <c r="J2" s="5"/>
    </row>
    <row r="4" spans="1:10">
      <c r="A4" s="131" t="s">
        <v>1</v>
      </c>
      <c r="B4" s="111"/>
      <c r="C4" s="135" t="s">
        <v>74</v>
      </c>
      <c r="D4" s="111"/>
      <c r="E4" s="134" t="s">
        <v>2</v>
      </c>
      <c r="F4" s="111"/>
      <c r="G4" s="126" t="s">
        <v>75</v>
      </c>
      <c r="H4" s="127"/>
      <c r="I4" s="119" t="s">
        <v>155</v>
      </c>
      <c r="J4" s="120"/>
    </row>
    <row r="5" spans="1:10" ht="26.25" customHeight="1">
      <c r="A5" s="130">
        <f>E11</f>
        <v>48000</v>
      </c>
      <c r="B5" s="125"/>
      <c r="C5" s="130">
        <f>E12</f>
        <v>30143.4</v>
      </c>
      <c r="D5" s="125"/>
      <c r="E5" s="130">
        <f>E13</f>
        <v>400</v>
      </c>
      <c r="F5" s="125"/>
      <c r="G5" s="125">
        <f>E14</f>
        <v>299.60000000000002</v>
      </c>
      <c r="H5" s="125"/>
      <c r="I5" s="124">
        <f>E15</f>
        <v>440</v>
      </c>
      <c r="J5" s="124"/>
    </row>
    <row r="6" spans="1:10" ht="21" customHeight="1">
      <c r="A6" s="121" t="s">
        <v>3</v>
      </c>
      <c r="B6" s="122"/>
      <c r="C6" s="122"/>
      <c r="D6" s="122"/>
      <c r="E6" s="122"/>
      <c r="F6" s="122"/>
      <c r="G6" s="122"/>
      <c r="H6" s="122"/>
      <c r="I6" s="122"/>
      <c r="J6" s="122"/>
    </row>
    <row r="7" spans="1:10" ht="23">
      <c r="A7" s="123">
        <f>A5+C5+E5+G5+I5</f>
        <v>79283</v>
      </c>
      <c r="B7" s="111"/>
      <c r="C7" s="111"/>
      <c r="D7" s="111"/>
      <c r="E7" s="111"/>
      <c r="F7" s="111"/>
      <c r="G7" s="111"/>
      <c r="H7" s="111"/>
      <c r="I7" s="111"/>
      <c r="J7" s="111"/>
    </row>
    <row r="9" spans="1:10" ht="15.5">
      <c r="A9" s="3" t="s">
        <v>4</v>
      </c>
    </row>
    <row r="10" spans="1:10" ht="27.9" customHeight="1">
      <c r="A10" s="4" t="s">
        <v>5</v>
      </c>
      <c r="B10" s="4" t="s">
        <v>6</v>
      </c>
      <c r="C10" s="4" t="s">
        <v>7</v>
      </c>
      <c r="D10" s="4" t="s">
        <v>8</v>
      </c>
      <c r="E10" s="4" t="s">
        <v>9</v>
      </c>
      <c r="G10" s="118" t="s">
        <v>159</v>
      </c>
      <c r="H10" s="111"/>
      <c r="I10" s="111"/>
    </row>
    <row r="11" spans="1:10" ht="21" customHeight="1">
      <c r="A11" s="99" t="s">
        <v>10</v>
      </c>
      <c r="B11" s="102">
        <v>0</v>
      </c>
      <c r="C11" s="106">
        <f>SUM(Funcionários!F5:F10)</f>
        <v>12000</v>
      </c>
      <c r="D11" s="102">
        <v>0</v>
      </c>
      <c r="E11" s="102">
        <f>C11*4</f>
        <v>48000</v>
      </c>
    </row>
    <row r="12" spans="1:10" ht="21" customHeight="1">
      <c r="A12" s="100" t="s">
        <v>76</v>
      </c>
      <c r="B12" s="104">
        <v>30143.4</v>
      </c>
      <c r="C12" s="104">
        <v>0</v>
      </c>
      <c r="D12" s="104">
        <v>0</v>
      </c>
      <c r="E12" s="104">
        <v>30143.4</v>
      </c>
      <c r="G12" s="114" t="s">
        <v>160</v>
      </c>
      <c r="H12" s="115"/>
      <c r="I12" s="107">
        <f>E11/4+E12+E13/4+E14/4+E15</f>
        <v>42758.3</v>
      </c>
    </row>
    <row r="13" spans="1:10" ht="21" customHeight="1">
      <c r="A13" s="99" t="s">
        <v>11</v>
      </c>
      <c r="B13" s="103">
        <v>0</v>
      </c>
      <c r="C13" s="103">
        <v>100</v>
      </c>
      <c r="D13" s="103">
        <v>0</v>
      </c>
      <c r="E13" s="103">
        <f>C13*4</f>
        <v>400</v>
      </c>
      <c r="G13" s="114" t="s">
        <v>161</v>
      </c>
      <c r="H13" s="115"/>
      <c r="I13" s="107">
        <f>E11/4+E13/4+E14/4</f>
        <v>12174.9</v>
      </c>
    </row>
    <row r="14" spans="1:10" ht="21" customHeight="1">
      <c r="A14" s="100" t="s">
        <v>154</v>
      </c>
      <c r="B14" s="104">
        <v>0</v>
      </c>
      <c r="C14" s="104">
        <v>74.900000000000006</v>
      </c>
      <c r="D14" s="104">
        <v>0</v>
      </c>
      <c r="E14" s="104">
        <f>C14*4</f>
        <v>299.60000000000002</v>
      </c>
      <c r="G14" s="114" t="s">
        <v>162</v>
      </c>
      <c r="H14" s="115"/>
      <c r="I14" s="107">
        <f>E11/4+E13/4+E14/4</f>
        <v>12174.9</v>
      </c>
    </row>
    <row r="15" spans="1:10" ht="21" customHeight="1">
      <c r="A15" s="101" t="s">
        <v>137</v>
      </c>
      <c r="B15" s="105">
        <f>E15</f>
        <v>440</v>
      </c>
      <c r="C15" s="105">
        <v>0</v>
      </c>
      <c r="D15" s="105">
        <v>0</v>
      </c>
      <c r="E15" s="105">
        <v>440</v>
      </c>
      <c r="G15" s="114" t="s">
        <v>163</v>
      </c>
      <c r="H15" s="115"/>
      <c r="I15" s="108">
        <f>E11/4+E13/4+E14/4</f>
        <v>12174.9</v>
      </c>
    </row>
    <row r="16" spans="1:10" ht="24.75" customHeight="1">
      <c r="A16" s="85" t="s">
        <v>12</v>
      </c>
      <c r="B16" s="86">
        <f>SUM(B12:B14)</f>
        <v>30143.4</v>
      </c>
      <c r="C16" s="86">
        <f>SUM(C12:C14)</f>
        <v>174.9</v>
      </c>
      <c r="D16" s="86">
        <f>SUM(D12:D14)</f>
        <v>0</v>
      </c>
      <c r="E16" s="86">
        <f>E11+E12+E13+E14+E15</f>
        <v>79283</v>
      </c>
      <c r="G16" s="116" t="s">
        <v>12</v>
      </c>
      <c r="H16" s="117"/>
      <c r="I16" s="109">
        <f>I15+I14+I13+I12</f>
        <v>79283</v>
      </c>
    </row>
  </sheetData>
  <mergeCells count="20">
    <mergeCell ref="A1:F1"/>
    <mergeCell ref="C5:D5"/>
    <mergeCell ref="A5:B5"/>
    <mergeCell ref="E5:F5"/>
    <mergeCell ref="A4:B4"/>
    <mergeCell ref="A2:F2"/>
    <mergeCell ref="E4:F4"/>
    <mergeCell ref="C4:D4"/>
    <mergeCell ref="G10:I10"/>
    <mergeCell ref="I4:J4"/>
    <mergeCell ref="A6:J6"/>
    <mergeCell ref="A7:J7"/>
    <mergeCell ref="I5:J5"/>
    <mergeCell ref="G5:H5"/>
    <mergeCell ref="G4:H4"/>
    <mergeCell ref="G12:H12"/>
    <mergeCell ref="G13:H13"/>
    <mergeCell ref="G14:H14"/>
    <mergeCell ref="G15:H15"/>
    <mergeCell ref="G16:H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C3C70"/>
  </sheetPr>
  <dimension ref="A1:F12"/>
  <sheetViews>
    <sheetView showGridLines="0" zoomScale="90" workbookViewId="0">
      <pane ySplit="4" topLeftCell="A5" activePane="bottomLeft" state="frozen"/>
      <selection pane="bottomLeft" activeCell="F5" sqref="F5"/>
    </sheetView>
  </sheetViews>
  <sheetFormatPr defaultRowHeight="14.5"/>
  <cols>
    <col min="1" max="1" width="25" customWidth="1"/>
    <col min="2" max="2" width="34" customWidth="1"/>
    <col min="3" max="3" width="19.08984375" customWidth="1"/>
    <col min="4" max="4" width="18.54296875" customWidth="1"/>
    <col min="5" max="5" width="16.90625" customWidth="1"/>
    <col min="6" max="6" width="20.90625" customWidth="1"/>
  </cols>
  <sheetData>
    <row r="1" spans="1:6" ht="30" customHeight="1">
      <c r="A1" s="112" t="s">
        <v>23</v>
      </c>
      <c r="B1" s="113"/>
      <c r="C1" s="113"/>
      <c r="D1" s="113"/>
      <c r="E1" s="113"/>
      <c r="F1" s="113"/>
    </row>
    <row r="2" spans="1:6" ht="21.9" customHeight="1">
      <c r="A2" s="136" t="s">
        <v>24</v>
      </c>
      <c r="B2" s="111"/>
      <c r="C2" s="111"/>
      <c r="D2" s="111"/>
      <c r="E2" s="111"/>
      <c r="F2" s="111"/>
    </row>
    <row r="4" spans="1:6" ht="27.9" customHeight="1">
      <c r="A4" s="4" t="s">
        <v>25</v>
      </c>
      <c r="B4" s="4" t="s">
        <v>26</v>
      </c>
      <c r="C4" s="4" t="s">
        <v>27</v>
      </c>
      <c r="D4" s="4" t="s">
        <v>28</v>
      </c>
      <c r="E4" s="4" t="s">
        <v>29</v>
      </c>
      <c r="F4" s="4" t="s">
        <v>30</v>
      </c>
    </row>
    <row r="5" spans="1:6" ht="15.5">
      <c r="A5" s="29" t="s">
        <v>31</v>
      </c>
      <c r="B5" s="29" t="s">
        <v>32</v>
      </c>
      <c r="C5" s="30">
        <v>2000</v>
      </c>
      <c r="D5" s="37">
        <v>16</v>
      </c>
      <c r="E5" s="30">
        <f t="shared" ref="E5:E10" si="0">C5/ D5</f>
        <v>125</v>
      </c>
      <c r="F5" s="30">
        <f t="shared" ref="F5:F10" si="1">D5*E5</f>
        <v>2000</v>
      </c>
    </row>
    <row r="6" spans="1:6" ht="15.5">
      <c r="A6" s="31" t="s">
        <v>33</v>
      </c>
      <c r="B6" s="31" t="s">
        <v>34</v>
      </c>
      <c r="C6" s="32">
        <v>2000</v>
      </c>
      <c r="D6" s="38">
        <v>16</v>
      </c>
      <c r="E6" s="32">
        <f t="shared" si="0"/>
        <v>125</v>
      </c>
      <c r="F6" s="32">
        <f t="shared" si="1"/>
        <v>2000</v>
      </c>
    </row>
    <row r="7" spans="1:6" ht="15.5">
      <c r="A7" s="29" t="s">
        <v>56</v>
      </c>
      <c r="B7" s="29" t="s">
        <v>35</v>
      </c>
      <c r="C7" s="30">
        <v>2000</v>
      </c>
      <c r="D7" s="37">
        <v>16</v>
      </c>
      <c r="E7" s="30">
        <f t="shared" si="0"/>
        <v>125</v>
      </c>
      <c r="F7" s="30">
        <f t="shared" si="1"/>
        <v>2000</v>
      </c>
    </row>
    <row r="8" spans="1:6" ht="15.5">
      <c r="A8" s="31" t="s">
        <v>57</v>
      </c>
      <c r="B8" s="31" t="s">
        <v>36</v>
      </c>
      <c r="C8" s="32">
        <v>2000</v>
      </c>
      <c r="D8" s="38">
        <v>16</v>
      </c>
      <c r="E8" s="32">
        <f t="shared" si="0"/>
        <v>125</v>
      </c>
      <c r="F8" s="32">
        <f t="shared" si="1"/>
        <v>2000</v>
      </c>
    </row>
    <row r="9" spans="1:6" ht="15.5">
      <c r="A9" s="29" t="s">
        <v>77</v>
      </c>
      <c r="B9" s="29" t="s">
        <v>37</v>
      </c>
      <c r="C9" s="30">
        <v>2000</v>
      </c>
      <c r="D9" s="37">
        <v>16</v>
      </c>
      <c r="E9" s="30">
        <f t="shared" si="0"/>
        <v>125</v>
      </c>
      <c r="F9" s="30">
        <f t="shared" si="1"/>
        <v>2000</v>
      </c>
    </row>
    <row r="10" spans="1:6" ht="15.5">
      <c r="A10" s="31" t="s">
        <v>78</v>
      </c>
      <c r="B10" s="31" t="s">
        <v>38</v>
      </c>
      <c r="C10" s="32">
        <v>2000</v>
      </c>
      <c r="D10" s="38">
        <v>16</v>
      </c>
      <c r="E10" s="32">
        <f t="shared" si="0"/>
        <v>125</v>
      </c>
      <c r="F10" s="32">
        <f t="shared" si="1"/>
        <v>2000</v>
      </c>
    </row>
    <row r="11" spans="1:6" ht="15.5">
      <c r="A11" s="33"/>
      <c r="B11" s="33"/>
      <c r="C11" s="33"/>
      <c r="D11" s="39"/>
      <c r="E11" s="33"/>
      <c r="F11" s="33"/>
    </row>
    <row r="12" spans="1:6" ht="15.5">
      <c r="A12" s="34" t="s">
        <v>39</v>
      </c>
      <c r="B12" s="35"/>
      <c r="C12" s="35"/>
      <c r="D12" s="35"/>
      <c r="E12" s="35"/>
      <c r="F12" s="36">
        <f>SUM(F5:F10)</f>
        <v>12000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I10"/>
  <sheetViews>
    <sheetView showGridLines="0" zoomScale="62" zoomScaleNormal="62" workbookViewId="0">
      <pane ySplit="4" topLeftCell="A5" activePane="bottomLeft" state="frozen"/>
      <selection pane="bottomLeft" activeCell="A10" sqref="A10"/>
    </sheetView>
  </sheetViews>
  <sheetFormatPr defaultRowHeight="14.5"/>
  <cols>
    <col min="1" max="1" width="24" customWidth="1"/>
    <col min="2" max="2" width="23.36328125" customWidth="1"/>
    <col min="3" max="3" width="27.54296875" customWidth="1"/>
    <col min="4" max="4" width="18.453125" customWidth="1"/>
    <col min="5" max="5" width="27.08984375" customWidth="1"/>
    <col min="6" max="6" width="22" customWidth="1"/>
    <col min="7" max="7" width="87" customWidth="1"/>
    <col min="8" max="8" width="26.36328125" customWidth="1"/>
    <col min="9" max="9" width="31.90625" customWidth="1"/>
  </cols>
  <sheetData>
    <row r="1" spans="1:9" ht="30" customHeight="1" thickBot="1">
      <c r="A1" s="112" t="s">
        <v>13</v>
      </c>
      <c r="B1" s="113"/>
      <c r="C1" s="113"/>
      <c r="D1" s="113"/>
      <c r="E1" s="113"/>
      <c r="F1" s="113"/>
      <c r="G1" s="113"/>
      <c r="H1" s="113"/>
      <c r="I1" s="113"/>
    </row>
    <row r="2" spans="1:9" ht="21.9" customHeight="1">
      <c r="A2" s="136" t="s">
        <v>14</v>
      </c>
      <c r="B2" s="111"/>
      <c r="C2" s="111"/>
      <c r="D2" s="111"/>
      <c r="E2" s="111"/>
      <c r="F2" s="111"/>
      <c r="G2" s="111"/>
      <c r="H2" s="111"/>
      <c r="I2" s="111"/>
    </row>
    <row r="4" spans="1:9" ht="27.9" customHeight="1">
      <c r="A4" s="28" t="s">
        <v>15</v>
      </c>
      <c r="B4" s="28" t="s">
        <v>16</v>
      </c>
      <c r="C4" s="28" t="s">
        <v>17</v>
      </c>
      <c r="D4" s="28" t="s">
        <v>18</v>
      </c>
      <c r="E4" s="28" t="s">
        <v>40</v>
      </c>
      <c r="F4" s="28" t="s">
        <v>19</v>
      </c>
      <c r="G4" s="28" t="s">
        <v>20</v>
      </c>
      <c r="H4" s="28" t="s">
        <v>21</v>
      </c>
      <c r="I4" s="28" t="s">
        <v>22</v>
      </c>
    </row>
    <row r="5" spans="1:9" ht="139.5">
      <c r="A5" s="67" t="s">
        <v>62</v>
      </c>
      <c r="B5" s="29" t="s">
        <v>59</v>
      </c>
      <c r="C5" s="46">
        <v>4199</v>
      </c>
      <c r="D5" s="30">
        <v>0</v>
      </c>
      <c r="E5" s="37">
        <v>6</v>
      </c>
      <c r="F5" s="75">
        <f>C5*E5+D5</f>
        <v>25194</v>
      </c>
      <c r="G5" s="74" t="s">
        <v>58</v>
      </c>
      <c r="H5" s="37" t="s">
        <v>127</v>
      </c>
      <c r="I5" s="37" t="s">
        <v>64</v>
      </c>
    </row>
    <row r="6" spans="1:9" ht="66" customHeight="1">
      <c r="A6" s="68" t="s">
        <v>61</v>
      </c>
      <c r="B6" s="69" t="s">
        <v>63</v>
      </c>
      <c r="C6" s="70">
        <v>4999</v>
      </c>
      <c r="D6" s="71">
        <v>0</v>
      </c>
      <c r="E6" s="72">
        <v>6</v>
      </c>
      <c r="F6" s="76">
        <f>C6*E6+D6</f>
        <v>29994</v>
      </c>
      <c r="G6" s="73" t="s">
        <v>60</v>
      </c>
      <c r="H6" s="72" t="s">
        <v>125</v>
      </c>
      <c r="I6" s="72" t="s">
        <v>65</v>
      </c>
    </row>
    <row r="7" spans="1:9" ht="58.5" customHeight="1">
      <c r="A7" s="67" t="s">
        <v>68</v>
      </c>
      <c r="B7" s="29" t="s">
        <v>66</v>
      </c>
      <c r="C7" s="46">
        <v>24.9</v>
      </c>
      <c r="D7" s="30">
        <v>0</v>
      </c>
      <c r="E7" s="37">
        <v>6</v>
      </c>
      <c r="F7" s="75">
        <f>C7*E7+D7</f>
        <v>149.39999999999998</v>
      </c>
      <c r="G7" s="78" t="s">
        <v>67</v>
      </c>
      <c r="H7" s="37" t="s">
        <v>125</v>
      </c>
      <c r="I7" s="37" t="s">
        <v>72</v>
      </c>
    </row>
    <row r="8" spans="1:9" ht="111.75" customHeight="1">
      <c r="A8" s="68" t="s">
        <v>70</v>
      </c>
      <c r="B8" s="69" t="s">
        <v>71</v>
      </c>
      <c r="C8" s="70">
        <v>69.900000000000006</v>
      </c>
      <c r="D8" s="71">
        <v>0</v>
      </c>
      <c r="E8" s="72">
        <v>6</v>
      </c>
      <c r="F8" s="76">
        <f>C8*E8+D8</f>
        <v>419.40000000000003</v>
      </c>
      <c r="G8" s="77" t="s">
        <v>69</v>
      </c>
      <c r="H8" s="38" t="s">
        <v>127</v>
      </c>
      <c r="I8" s="72" t="s">
        <v>73</v>
      </c>
    </row>
    <row r="10" spans="1:9" ht="37.5" customHeight="1">
      <c r="A10" s="40" t="s">
        <v>39</v>
      </c>
      <c r="B10" s="5"/>
      <c r="C10" s="5"/>
      <c r="D10" s="5"/>
      <c r="E10" s="5"/>
      <c r="F10" s="5"/>
      <c r="G10" s="5"/>
      <c r="H10" s="5"/>
      <c r="I10" s="42">
        <f>F6+F7</f>
        <v>30143.4</v>
      </c>
    </row>
  </sheetData>
  <mergeCells count="2">
    <mergeCell ref="A1:I1"/>
    <mergeCell ref="A2:I2"/>
  </mergeCells>
  <dataValidations count="1">
    <dataValidation type="list" allowBlank="1" sqref="H5:H8" xr:uid="{00000000-0002-0000-0100-000000000000}">
      <formula1>"✅,❌"</formula1>
    </dataValidation>
  </dataValidations>
  <hyperlinks>
    <hyperlink ref="G5" r:id="rId1" display="https://www.br.vaio.com/notebook-vaio-fe16-intel-core-i5-1335u-linux-16gb-ram-512gb-ssd-16-ips-wuxga-antirreflexo-cinza-grafite-3344450/p?idsku=61070&amp;utm_source=google&amp;utm_medium=cpc&amp;utm_campaign=smart-shopping-ecom-intel&amp;utm_term=pmx&amp;utm_content=vaio&amp;gad_source=1&amp;gad_campaignid=19241342083&amp;gbraid=0AAAAABxx0sqM5DYemF7UEFvJkQ7q2pQ5h&amp;gclid=CjwKCAjw1vXTBhB-EiwAEKr_k-TbkJoXbK4h1NiVL6YRLb2Vv07q_MpVIZx4eAX9Ewiaze_4KlMUZxoC6X4QAvD_BwE_x000a_" xr:uid="{629BBE78-D0F9-4635-A5F8-B826B4E35BF4}"/>
    <hyperlink ref="G6" r:id="rId2" xr:uid="{5C5B1EE0-E213-4222-B23A-5ED99CCC9C51}"/>
    <hyperlink ref="G8" r:id="rId3" display="https://www.amazon.com.br/Logitech-Bluetooth-Ambidestro-Rastreamento-%20Compat%C3%ADvel/dp/B0DN4RM6X7/ref=sr_1_52adgrpid=130004651884&amp;dib-e%20yl2IjoiMS/9.gXfrQD0NnJkf-Kcr1E0g6qmOmAUVKToU3HNK_iYi6rRzLrpx-%20WH3XM6QwT6Yz5w7UcnwctorAQlyM65tbx3H5YjwdHb8ukSw4hJwC74zaHXHLYCX" xr:uid="{67988673-7098-4610-93A6-08FC841FA973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H9"/>
  <sheetViews>
    <sheetView showGridLines="0" zoomScale="59" zoomScaleNormal="59" workbookViewId="0">
      <pane ySplit="4" topLeftCell="A5" activePane="bottomLeft" state="frozen"/>
      <selection pane="bottomLeft" activeCell="D5" sqref="D5"/>
    </sheetView>
  </sheetViews>
  <sheetFormatPr defaultRowHeight="14.5"/>
  <cols>
    <col min="1" max="2" width="24" customWidth="1"/>
    <col min="3" max="3" width="20" customWidth="1"/>
    <col min="4" max="5" width="16" customWidth="1"/>
    <col min="6" max="6" width="69.08984375" customWidth="1"/>
    <col min="7" max="7" width="48" customWidth="1"/>
    <col min="8" max="8" width="35.08984375" customWidth="1"/>
  </cols>
  <sheetData>
    <row r="1" spans="1:8" ht="30" customHeight="1" thickBot="1">
      <c r="A1" s="112" t="s">
        <v>42</v>
      </c>
      <c r="B1" s="113"/>
      <c r="C1" s="113"/>
      <c r="D1" s="113"/>
      <c r="E1" s="113"/>
      <c r="F1" s="113"/>
      <c r="G1" s="1"/>
      <c r="H1" s="1"/>
    </row>
    <row r="2" spans="1:8" ht="21.9" customHeight="1" thickBot="1">
      <c r="A2" s="136" t="s">
        <v>43</v>
      </c>
      <c r="B2" s="111"/>
      <c r="C2" s="111"/>
      <c r="D2" s="111"/>
      <c r="E2" s="111"/>
      <c r="F2" s="111"/>
      <c r="G2" s="1"/>
      <c r="H2" s="1"/>
    </row>
    <row r="3" spans="1:8" ht="15" thickBot="1">
      <c r="H3" s="11"/>
    </row>
    <row r="4" spans="1:8" ht="27.9" customHeight="1">
      <c r="A4" s="79" t="s">
        <v>44</v>
      </c>
      <c r="B4" s="79" t="s">
        <v>16</v>
      </c>
      <c r="C4" s="79" t="s">
        <v>45</v>
      </c>
      <c r="D4" s="79" t="s">
        <v>46</v>
      </c>
      <c r="E4" s="79" t="s">
        <v>47</v>
      </c>
      <c r="F4" s="79" t="s">
        <v>20</v>
      </c>
      <c r="G4" s="79" t="s">
        <v>122</v>
      </c>
      <c r="H4" s="79" t="s">
        <v>123</v>
      </c>
    </row>
    <row r="5" spans="1:8" ht="94.5" customHeight="1">
      <c r="A5" s="13" t="s">
        <v>48</v>
      </c>
      <c r="B5" s="13" t="s">
        <v>150</v>
      </c>
      <c r="C5" s="13" t="s">
        <v>117</v>
      </c>
      <c r="D5" s="14">
        <v>100</v>
      </c>
      <c r="E5" s="14">
        <v>1200</v>
      </c>
      <c r="F5" s="8" t="s">
        <v>118</v>
      </c>
      <c r="G5" s="20" t="s">
        <v>124</v>
      </c>
      <c r="H5" s="21" t="s">
        <v>125</v>
      </c>
    </row>
    <row r="6" spans="1:8" ht="94.5" customHeight="1">
      <c r="A6" s="15" t="s">
        <v>119</v>
      </c>
      <c r="B6" s="16" t="s">
        <v>150</v>
      </c>
      <c r="C6" s="16" t="s">
        <v>120</v>
      </c>
      <c r="D6" s="17">
        <v>150</v>
      </c>
      <c r="E6" s="17">
        <v>1800</v>
      </c>
      <c r="F6" s="18" t="s">
        <v>118</v>
      </c>
      <c r="G6" s="22" t="s">
        <v>126</v>
      </c>
      <c r="H6" s="15" t="s">
        <v>127</v>
      </c>
    </row>
    <row r="7" spans="1:8" ht="94.5" customHeight="1">
      <c r="A7" s="13" t="s">
        <v>119</v>
      </c>
      <c r="B7" s="13" t="s">
        <v>150</v>
      </c>
      <c r="C7" s="13" t="s">
        <v>121</v>
      </c>
      <c r="D7" s="14">
        <v>200</v>
      </c>
      <c r="E7" s="14">
        <v>2400</v>
      </c>
      <c r="F7" s="19" t="s">
        <v>118</v>
      </c>
      <c r="G7" s="23" t="s">
        <v>128</v>
      </c>
      <c r="H7" s="21" t="s">
        <v>127</v>
      </c>
    </row>
    <row r="9" spans="1:8" ht="22.5">
      <c r="A9" s="43" t="s">
        <v>39</v>
      </c>
      <c r="B9" s="41"/>
      <c r="C9" s="41"/>
      <c r="D9" s="41"/>
      <c r="E9" s="41"/>
      <c r="F9" s="41"/>
      <c r="G9" s="41"/>
      <c r="H9" s="44">
        <v>100</v>
      </c>
    </row>
  </sheetData>
  <mergeCells count="2">
    <mergeCell ref="A2:F2"/>
    <mergeCell ref="A1:F1"/>
  </mergeCells>
  <hyperlinks>
    <hyperlink ref="F5" r:id="rId1" display="https://internet.vivo.com.br/ofertas/fibra-e-pos/?criteria-id=9220531&amp;gclsrc=aw.ds&amp;gad_source=1&amp;gad_campaignid=18132674136&amp;gbraid=0AAAAADAebch74e4YmakBtCdnZdyRuNEkB&amp;gclid=Cj0KCQjwnbrUBhDOARIsAKKhPpe8JM80aPoNzfyIpkNo-9Lshe48kn2Z6F4dqP7efNu0uh6Thhqfzb0aApwtEALw_wcB" xr:uid="{38FFCFED-EFFD-43CF-AD4A-4CE64779C27F}"/>
    <hyperlink ref="F6" r:id="rId2" display="https://internet.vivo.com.br/ofertas/fibra-e-pos/?criteria-id=9220531&amp;gclsrc=aw.ds&amp;gad_source=1&amp;gad_campaignid=18132674136&amp;gbraid=0AAAAADAebch74e4YmakBtCdnZdyRuNEkB&amp;gclid=Cj0KCQjwnbrUBhDOARIsAKKhPpe8JM80aPoNzfyIpkNo-9Lshe48kn2Z6F4dqP7efNu0uh6Thhqfzb0aApwtEALw_wcB" xr:uid="{2B809FD0-B7A4-4376-8799-09A0AF188460}"/>
    <hyperlink ref="F7" r:id="rId3" display="https://internet.vivo.com.br/ofertas/fibra-e-pos/?criteria-id=9220531&amp;gclsrc=aw.ds&amp;gad_source=1&amp;gad_campaignid=18132674136&amp;gbraid=0AAAAADAebch74e4YmakBtCdnZdyRuNEkB&amp;gclid=Cj0KCQjwnbrUBhDOARIsAKKhPpe8JM80aPoNzfyIpkNo-9Lshe48kn2Z6F4dqP7efNu0uh6Thhqfzb0aApwtEALw_wcB" xr:uid="{559036EB-C7D0-4EBB-9775-21DDEF3530CD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</sheetPr>
  <dimension ref="A1:J23"/>
  <sheetViews>
    <sheetView showGridLines="0" tabSelected="1" zoomScale="57" zoomScaleNormal="57" workbookViewId="0">
      <pane ySplit="4" topLeftCell="A12" activePane="bottomLeft" state="frozen"/>
      <selection pane="bottomLeft" activeCell="A19" sqref="A19:J19"/>
    </sheetView>
  </sheetViews>
  <sheetFormatPr defaultRowHeight="14.5"/>
  <cols>
    <col min="1" max="1" width="28" customWidth="1"/>
    <col min="2" max="2" width="20" customWidth="1"/>
    <col min="3" max="3" width="24" customWidth="1"/>
    <col min="4" max="5" width="16" customWidth="1"/>
    <col min="6" max="6" width="19.453125" customWidth="1"/>
    <col min="7" max="7" width="21.6328125" customWidth="1"/>
    <col min="8" max="8" width="54.36328125" customWidth="1"/>
    <col min="9" max="9" width="53.6328125" customWidth="1"/>
    <col min="10" max="10" width="25" customWidth="1"/>
  </cols>
  <sheetData>
    <row r="1" spans="1:10" ht="30" customHeight="1" thickBot="1">
      <c r="A1" s="112" t="s">
        <v>55</v>
      </c>
      <c r="B1" s="113"/>
      <c r="C1" s="113"/>
      <c r="D1" s="113"/>
      <c r="E1" s="113"/>
      <c r="F1" s="113"/>
      <c r="G1" s="1"/>
      <c r="H1" s="1"/>
      <c r="I1" s="1"/>
    </row>
    <row r="2" spans="1:10" ht="21.9" customHeight="1">
      <c r="A2" s="110" t="s">
        <v>49</v>
      </c>
      <c r="B2" s="111"/>
      <c r="C2" s="111"/>
      <c r="D2" s="111"/>
      <c r="E2" s="111"/>
      <c r="F2" s="111"/>
      <c r="G2" s="2"/>
      <c r="H2" s="2"/>
      <c r="I2" s="2"/>
    </row>
    <row r="4" spans="1:10" ht="27.9" customHeight="1">
      <c r="A4" s="80" t="s">
        <v>50</v>
      </c>
      <c r="B4" s="80" t="s">
        <v>51</v>
      </c>
      <c r="C4" s="80" t="s">
        <v>16</v>
      </c>
      <c r="D4" s="80" t="s">
        <v>46</v>
      </c>
      <c r="E4" s="80" t="s">
        <v>47</v>
      </c>
      <c r="F4" s="80" t="s">
        <v>79</v>
      </c>
      <c r="G4" s="81" t="s">
        <v>41</v>
      </c>
      <c r="H4" s="81" t="s">
        <v>80</v>
      </c>
      <c r="I4" s="80" t="s">
        <v>20</v>
      </c>
      <c r="J4" s="80" t="s">
        <v>152</v>
      </c>
    </row>
    <row r="5" spans="1:10" ht="48" customHeight="1">
      <c r="A5" s="29" t="s">
        <v>94</v>
      </c>
      <c r="B5" s="29" t="s">
        <v>52</v>
      </c>
      <c r="C5" s="29" t="s">
        <v>96</v>
      </c>
      <c r="D5" s="46">
        <v>119</v>
      </c>
      <c r="E5" s="30">
        <f>D5*12</f>
        <v>1428</v>
      </c>
      <c r="F5" s="47">
        <v>6</v>
      </c>
      <c r="G5" s="48">
        <f t="shared" ref="G5:G10" si="0">E5*F5</f>
        <v>8568</v>
      </c>
      <c r="H5" s="49" t="s">
        <v>97</v>
      </c>
      <c r="I5" s="50" t="s">
        <v>88</v>
      </c>
      <c r="J5" s="82" t="s">
        <v>127</v>
      </c>
    </row>
    <row r="6" spans="1:10" ht="69" customHeight="1">
      <c r="A6" s="31" t="s">
        <v>95</v>
      </c>
      <c r="B6" s="31" t="s">
        <v>52</v>
      </c>
      <c r="C6" s="31" t="s">
        <v>96</v>
      </c>
      <c r="D6" s="51">
        <v>49.91</v>
      </c>
      <c r="E6" s="32">
        <v>599</v>
      </c>
      <c r="F6" s="38">
        <v>1</v>
      </c>
      <c r="G6" s="52">
        <f t="shared" si="0"/>
        <v>599</v>
      </c>
      <c r="H6" s="53" t="s">
        <v>106</v>
      </c>
      <c r="I6" s="54" t="s">
        <v>98</v>
      </c>
      <c r="J6" s="12" t="s">
        <v>125</v>
      </c>
    </row>
    <row r="7" spans="1:10" ht="82.5" customHeight="1">
      <c r="A7" s="29" t="s">
        <v>82</v>
      </c>
      <c r="B7" s="29" t="s">
        <v>53</v>
      </c>
      <c r="C7" s="29" t="s">
        <v>89</v>
      </c>
      <c r="D7" s="55">
        <v>0</v>
      </c>
      <c r="E7" s="30">
        <f>D7*12</f>
        <v>0</v>
      </c>
      <c r="F7" s="37">
        <v>6</v>
      </c>
      <c r="G7" s="56">
        <f t="shared" si="0"/>
        <v>0</v>
      </c>
      <c r="H7" s="49" t="s">
        <v>81</v>
      </c>
      <c r="I7" s="57" t="s">
        <v>93</v>
      </c>
      <c r="J7" s="82" t="s">
        <v>125</v>
      </c>
    </row>
    <row r="8" spans="1:10" ht="85.5" customHeight="1">
      <c r="A8" s="31" t="s">
        <v>83</v>
      </c>
      <c r="B8" s="31" t="s">
        <v>53</v>
      </c>
      <c r="C8" s="31" t="s">
        <v>83</v>
      </c>
      <c r="D8" s="51">
        <v>99.9</v>
      </c>
      <c r="E8" s="32">
        <f>D8*12</f>
        <v>1198.8000000000002</v>
      </c>
      <c r="F8" s="38">
        <v>6</v>
      </c>
      <c r="G8" s="52">
        <f t="shared" si="0"/>
        <v>7192.8000000000011</v>
      </c>
      <c r="H8" s="58" t="s">
        <v>84</v>
      </c>
      <c r="I8" s="59" t="s">
        <v>93</v>
      </c>
      <c r="J8" s="12" t="s">
        <v>127</v>
      </c>
    </row>
    <row r="9" spans="1:10" ht="72.75" customHeight="1">
      <c r="A9" s="29" t="s">
        <v>85</v>
      </c>
      <c r="B9" s="29" t="s">
        <v>53</v>
      </c>
      <c r="C9" s="29" t="s">
        <v>90</v>
      </c>
      <c r="D9" s="55">
        <v>0</v>
      </c>
      <c r="E9" s="30">
        <f>D9*12</f>
        <v>0</v>
      </c>
      <c r="F9" s="37">
        <v>6</v>
      </c>
      <c r="G9" s="56">
        <f t="shared" si="0"/>
        <v>0</v>
      </c>
      <c r="H9" s="60" t="s">
        <v>86</v>
      </c>
      <c r="I9" s="61" t="s">
        <v>92</v>
      </c>
      <c r="J9" s="82" t="s">
        <v>125</v>
      </c>
    </row>
    <row r="10" spans="1:10" ht="124.5" customHeight="1">
      <c r="A10" s="31" t="s">
        <v>91</v>
      </c>
      <c r="B10" s="31" t="s">
        <v>53</v>
      </c>
      <c r="C10" s="31" t="s">
        <v>91</v>
      </c>
      <c r="D10" s="45">
        <v>24.99</v>
      </c>
      <c r="E10" s="62">
        <f>D10*12</f>
        <v>299.88</v>
      </c>
      <c r="F10" s="38">
        <v>6</v>
      </c>
      <c r="G10" s="52">
        <f t="shared" si="0"/>
        <v>1799.28</v>
      </c>
      <c r="H10" s="58" t="s">
        <v>87</v>
      </c>
      <c r="I10" s="59" t="s">
        <v>92</v>
      </c>
      <c r="J10" s="12" t="s">
        <v>125</v>
      </c>
    </row>
    <row r="11" spans="1:10" ht="81" customHeight="1">
      <c r="A11" s="29" t="s">
        <v>99</v>
      </c>
      <c r="B11" s="29" t="s">
        <v>53</v>
      </c>
      <c r="C11" s="29" t="s">
        <v>99</v>
      </c>
      <c r="D11" s="55">
        <v>0</v>
      </c>
      <c r="E11" s="63">
        <v>0</v>
      </c>
      <c r="F11" s="37">
        <v>6</v>
      </c>
      <c r="G11" s="56">
        <f>F11*E11</f>
        <v>0</v>
      </c>
      <c r="H11" s="60" t="s">
        <v>151</v>
      </c>
      <c r="I11" s="61" t="s">
        <v>100</v>
      </c>
      <c r="J11" s="82" t="s">
        <v>125</v>
      </c>
    </row>
    <row r="12" spans="1:10" ht="75" customHeight="1">
      <c r="A12" s="31" t="s">
        <v>102</v>
      </c>
      <c r="B12" s="31" t="s">
        <v>53</v>
      </c>
      <c r="C12" s="31" t="s">
        <v>99</v>
      </c>
      <c r="D12" s="51">
        <v>20.6</v>
      </c>
      <c r="E12" s="62">
        <v>247.2</v>
      </c>
      <c r="F12" s="38">
        <v>6</v>
      </c>
      <c r="G12" s="52">
        <f>F12*E12</f>
        <v>1483.1999999999998</v>
      </c>
      <c r="H12" s="53" t="s">
        <v>101</v>
      </c>
      <c r="I12" s="64" t="s">
        <v>100</v>
      </c>
      <c r="J12" s="12" t="s">
        <v>127</v>
      </c>
    </row>
    <row r="13" spans="1:10" ht="60" customHeight="1">
      <c r="A13" s="29" t="s">
        <v>104</v>
      </c>
      <c r="B13" s="29" t="s">
        <v>53</v>
      </c>
      <c r="C13" s="29" t="s">
        <v>96</v>
      </c>
      <c r="D13" s="55">
        <v>0</v>
      </c>
      <c r="E13" s="63">
        <v>0</v>
      </c>
      <c r="F13" s="37">
        <v>6</v>
      </c>
      <c r="G13" s="56">
        <v>0</v>
      </c>
      <c r="H13" s="60" t="s">
        <v>105</v>
      </c>
      <c r="I13" s="61" t="s">
        <v>103</v>
      </c>
      <c r="J13" s="82" t="s">
        <v>125</v>
      </c>
    </row>
    <row r="14" spans="1:10" ht="43.5" customHeight="1">
      <c r="A14" s="65" t="s">
        <v>107</v>
      </c>
      <c r="B14" s="31" t="s">
        <v>53</v>
      </c>
      <c r="C14" s="31" t="s">
        <v>107</v>
      </c>
      <c r="D14" s="51">
        <v>0</v>
      </c>
      <c r="E14" s="62">
        <v>0</v>
      </c>
      <c r="F14" s="38">
        <v>6</v>
      </c>
      <c r="G14" s="52">
        <v>0</v>
      </c>
      <c r="H14" s="53" t="s">
        <v>108</v>
      </c>
      <c r="I14" s="64" t="s">
        <v>109</v>
      </c>
      <c r="J14" s="12" t="s">
        <v>153</v>
      </c>
    </row>
    <row r="15" spans="1:10" ht="58.5" customHeight="1">
      <c r="A15" s="29" t="s">
        <v>111</v>
      </c>
      <c r="B15" s="29" t="s">
        <v>53</v>
      </c>
      <c r="C15" s="29" t="s">
        <v>107</v>
      </c>
      <c r="D15" s="55">
        <v>35</v>
      </c>
      <c r="E15" s="63">
        <f>D15*12</f>
        <v>420</v>
      </c>
      <c r="F15" s="37">
        <v>6</v>
      </c>
      <c r="G15" s="56">
        <f>E15*F15</f>
        <v>2520</v>
      </c>
      <c r="H15" s="60" t="s">
        <v>110</v>
      </c>
      <c r="I15" s="61" t="s">
        <v>109</v>
      </c>
      <c r="J15" s="82" t="s">
        <v>127</v>
      </c>
    </row>
    <row r="16" spans="1:10" ht="54.75" customHeight="1">
      <c r="A16" s="31" t="s">
        <v>112</v>
      </c>
      <c r="B16" s="31" t="s">
        <v>53</v>
      </c>
      <c r="C16" s="31" t="s">
        <v>112</v>
      </c>
      <c r="D16" s="51">
        <v>0</v>
      </c>
      <c r="E16" s="62">
        <v>0</v>
      </c>
      <c r="F16" s="38">
        <v>6</v>
      </c>
      <c r="G16" s="52">
        <v>0</v>
      </c>
      <c r="H16" s="53" t="s">
        <v>116</v>
      </c>
      <c r="I16" s="64" t="s">
        <v>113</v>
      </c>
      <c r="J16" s="12" t="s">
        <v>125</v>
      </c>
    </row>
    <row r="17" spans="1:10" ht="47.25" customHeight="1">
      <c r="A17" s="66" t="s">
        <v>114</v>
      </c>
      <c r="B17" s="29" t="s">
        <v>53</v>
      </c>
      <c r="C17" s="29" t="s">
        <v>112</v>
      </c>
      <c r="D17" s="55">
        <v>82.4</v>
      </c>
      <c r="E17" s="63">
        <v>988.8</v>
      </c>
      <c r="F17" s="37">
        <v>6</v>
      </c>
      <c r="G17" s="56">
        <f>F17*E17</f>
        <v>5932.7999999999993</v>
      </c>
      <c r="H17" s="60" t="s">
        <v>115</v>
      </c>
      <c r="I17" s="61" t="s">
        <v>113</v>
      </c>
      <c r="J17" s="82" t="s">
        <v>127</v>
      </c>
    </row>
    <row r="18" spans="1:10">
      <c r="A18" s="9"/>
      <c r="B18" s="9"/>
      <c r="C18" s="9"/>
      <c r="D18" s="10"/>
      <c r="E18" s="83"/>
      <c r="F18" s="82"/>
      <c r="G18" s="9"/>
      <c r="H18" s="84"/>
    </row>
    <row r="19" spans="1:10" ht="34.5" customHeight="1">
      <c r="A19" s="40" t="s">
        <v>39</v>
      </c>
      <c r="B19" s="94"/>
      <c r="C19" s="94"/>
      <c r="D19" s="95"/>
      <c r="E19" s="94"/>
      <c r="F19" s="94"/>
      <c r="G19" s="96"/>
      <c r="H19" s="94"/>
      <c r="I19" s="97"/>
      <c r="J19" s="98">
        <f>D16+D14+D13+D11+D10+D9+D7+D6</f>
        <v>74.899999999999991</v>
      </c>
    </row>
    <row r="20" spans="1:10">
      <c r="G20" s="9"/>
    </row>
    <row r="21" spans="1:10">
      <c r="G21" s="9"/>
    </row>
    <row r="22" spans="1:10">
      <c r="G22" s="9"/>
    </row>
    <row r="23" spans="1:10">
      <c r="C23" s="9"/>
    </row>
  </sheetData>
  <mergeCells count="2">
    <mergeCell ref="A2:F2"/>
    <mergeCell ref="A1:F1"/>
  </mergeCells>
  <hyperlinks>
    <hyperlink ref="I5" r:id="rId1" location="tabs-pill-bar-oc7d86_tab0" xr:uid="{DD3ABAB0-9F2F-4777-82C8-56EAE4EE4557}"/>
    <hyperlink ref="I8" r:id="rId2" xr:uid="{2984A287-E39D-4AC4-9CE6-8DEDC9D277AD}"/>
    <hyperlink ref="I9" r:id="rId3" xr:uid="{C8BAC388-8261-49B2-A524-BF5B96846F70}"/>
    <hyperlink ref="I10" r:id="rId4" xr:uid="{E8E53C55-6AF2-46BB-9CA7-4435E985C6FE}"/>
    <hyperlink ref="I7" r:id="rId5" xr:uid="{C5A9BD23-E8A9-4CDC-AB28-27A85A9FCBB0}"/>
    <hyperlink ref="I11" r:id="rId6" xr:uid="{94FE90D1-D610-4D4F-870F-8BC59DDDF273}"/>
    <hyperlink ref="I12" r:id="rId7" xr:uid="{E24EB24E-0C55-4D86-9969-E71333B9647E}"/>
    <hyperlink ref="I13" r:id="rId8" xr:uid="{6A9A9989-8915-4688-923E-37208E830199}"/>
    <hyperlink ref="I14" r:id="rId9" xr:uid="{E4ED1E72-F796-4B2C-8178-8AF0E27B045B}"/>
    <hyperlink ref="I15" r:id="rId10" xr:uid="{80E37859-CF5E-4EBD-9F87-E5BDA6739DDC}"/>
    <hyperlink ref="I16" r:id="rId11" xr:uid="{C68C76B4-5C5A-4E04-8259-865240573359}"/>
    <hyperlink ref="I17" r:id="rId12" xr:uid="{4CDC42D8-336B-4051-B91A-2F01BB48E8D9}"/>
  </hyperlinks>
  <pageMargins left="0.75" right="0.75" top="1" bottom="1" header="0.5" footer="0.5"/>
  <pageSetup paperSize="9" orientation="portrait" r:id="rId1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663C0-8E1C-476D-BD7C-52B8A4B2726B}">
  <sheetPr>
    <tabColor rgb="FFC99CFF"/>
  </sheetPr>
  <dimension ref="A1:H15"/>
  <sheetViews>
    <sheetView zoomScaleNormal="100" workbookViewId="0">
      <selection activeCell="H11" sqref="H11"/>
    </sheetView>
  </sheetViews>
  <sheetFormatPr defaultRowHeight="14.5"/>
  <cols>
    <col min="1" max="1" width="12.54296875" bestFit="1" customWidth="1"/>
    <col min="2" max="3" width="27.36328125" bestFit="1" customWidth="1"/>
    <col min="4" max="4" width="7.453125" bestFit="1" customWidth="1"/>
    <col min="5" max="5" width="13.36328125" bestFit="1" customWidth="1"/>
    <col min="6" max="6" width="11.6328125" bestFit="1" customWidth="1"/>
    <col min="8" max="8" width="47.6328125" customWidth="1"/>
  </cols>
  <sheetData>
    <row r="1" spans="1:8" ht="20.5" thickBot="1">
      <c r="A1" s="137" t="s">
        <v>129</v>
      </c>
      <c r="B1" s="137"/>
      <c r="C1" s="137"/>
      <c r="D1" s="137"/>
      <c r="E1" s="137"/>
      <c r="F1" s="137"/>
    </row>
    <row r="2" spans="1:8">
      <c r="A2" s="138" t="s">
        <v>43</v>
      </c>
      <c r="B2" s="138"/>
      <c r="C2" s="138"/>
      <c r="D2" s="138"/>
      <c r="E2" s="138"/>
      <c r="F2" s="138"/>
    </row>
    <row r="3" spans="1:8">
      <c r="A3" s="24"/>
      <c r="B3" s="24"/>
      <c r="C3" s="24"/>
      <c r="D3" s="24"/>
      <c r="E3" s="24"/>
      <c r="F3" s="24"/>
    </row>
    <row r="4" spans="1:8">
      <c r="A4" s="25" t="s">
        <v>5</v>
      </c>
      <c r="B4" s="25" t="s">
        <v>15</v>
      </c>
      <c r="C4" s="25" t="s">
        <v>130</v>
      </c>
      <c r="D4" s="25" t="s">
        <v>47</v>
      </c>
      <c r="E4" s="25" t="s">
        <v>131</v>
      </c>
      <c r="F4" s="26"/>
      <c r="H4" s="25" t="s">
        <v>158</v>
      </c>
    </row>
    <row r="5" spans="1:8">
      <c r="A5" s="27" t="s">
        <v>132</v>
      </c>
      <c r="B5" s="27" t="s">
        <v>133</v>
      </c>
      <c r="C5" s="27" t="s">
        <v>134</v>
      </c>
      <c r="D5" s="27" t="s">
        <v>135</v>
      </c>
      <c r="E5" s="90">
        <v>0</v>
      </c>
      <c r="F5" s="26"/>
      <c r="H5" s="87">
        <f>E9+E8+E7</f>
        <v>440</v>
      </c>
    </row>
    <row r="6" spans="1:8">
      <c r="A6" s="27" t="s">
        <v>132</v>
      </c>
      <c r="B6" s="27" t="s">
        <v>136</v>
      </c>
      <c r="C6" s="27" t="s">
        <v>136</v>
      </c>
      <c r="D6" s="27" t="s">
        <v>135</v>
      </c>
      <c r="E6" s="90">
        <v>0</v>
      </c>
      <c r="F6" s="24"/>
      <c r="H6" s="88" t="s">
        <v>156</v>
      </c>
    </row>
    <row r="7" spans="1:8">
      <c r="A7" s="27" t="s">
        <v>132</v>
      </c>
      <c r="B7" s="27" t="s">
        <v>137</v>
      </c>
      <c r="C7" s="27" t="s">
        <v>138</v>
      </c>
      <c r="D7" s="27" t="s">
        <v>135</v>
      </c>
      <c r="E7" s="90">
        <v>300</v>
      </c>
      <c r="F7" s="24"/>
      <c r="H7" s="87">
        <f>E9+E8</f>
        <v>140</v>
      </c>
    </row>
    <row r="8" spans="1:8">
      <c r="A8" s="27" t="s">
        <v>139</v>
      </c>
      <c r="B8" s="27" t="s">
        <v>140</v>
      </c>
      <c r="C8" s="27" t="s">
        <v>141</v>
      </c>
      <c r="D8" s="27" t="s">
        <v>46</v>
      </c>
      <c r="E8" s="91">
        <v>40</v>
      </c>
      <c r="F8" s="24"/>
      <c r="H8" s="89" t="s">
        <v>157</v>
      </c>
    </row>
    <row r="9" spans="1:8">
      <c r="A9" s="27" t="s">
        <v>139</v>
      </c>
      <c r="B9" s="27" t="s">
        <v>142</v>
      </c>
      <c r="C9" s="27" t="s">
        <v>142</v>
      </c>
      <c r="D9" s="27" t="s">
        <v>46</v>
      </c>
      <c r="E9" s="91">
        <v>100</v>
      </c>
      <c r="F9" s="24"/>
      <c r="H9" s="87">
        <f>E7</f>
        <v>300</v>
      </c>
    </row>
    <row r="10" spans="1:8">
      <c r="A10" s="92" t="s">
        <v>143</v>
      </c>
      <c r="B10" s="92" t="s">
        <v>48</v>
      </c>
      <c r="C10" s="92" t="s">
        <v>144</v>
      </c>
      <c r="D10" s="92" t="s">
        <v>46</v>
      </c>
      <c r="E10" s="93">
        <v>200</v>
      </c>
      <c r="F10" s="24"/>
    </row>
    <row r="11" spans="1:8">
      <c r="A11" s="92" t="s">
        <v>10</v>
      </c>
      <c r="B11" s="92" t="s">
        <v>145</v>
      </c>
      <c r="C11" s="92" t="s">
        <v>146</v>
      </c>
      <c r="D11" s="92" t="s">
        <v>46</v>
      </c>
      <c r="E11" s="93">
        <v>24000</v>
      </c>
      <c r="F11" s="24"/>
    </row>
    <row r="12" spans="1:8">
      <c r="A12" s="92" t="s">
        <v>147</v>
      </c>
      <c r="B12" s="92" t="s">
        <v>148</v>
      </c>
      <c r="C12" s="92" t="s">
        <v>149</v>
      </c>
      <c r="D12" s="92" t="s">
        <v>135</v>
      </c>
      <c r="E12" s="93">
        <v>30143.4</v>
      </c>
      <c r="F12" s="24"/>
    </row>
    <row r="13" spans="1:8">
      <c r="A13" s="24"/>
      <c r="B13" s="24"/>
      <c r="C13" s="24"/>
      <c r="D13" s="24"/>
      <c r="E13" s="24"/>
      <c r="F13" s="24"/>
    </row>
    <row r="14" spans="1:8">
      <c r="A14" s="24"/>
      <c r="B14" s="24"/>
      <c r="C14" s="24"/>
      <c r="D14" s="24"/>
      <c r="E14" s="24"/>
      <c r="F14" s="24"/>
    </row>
    <row r="15" spans="1:8">
      <c r="A15" s="24"/>
      <c r="B15" s="24"/>
      <c r="C15" s="24"/>
      <c r="D15" s="24"/>
      <c r="E15" s="24"/>
      <c r="F15" s="26"/>
    </row>
  </sheetData>
  <mergeCells count="2">
    <mergeCell ref="A1:F1"/>
    <mergeCell ref="A2:F2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EE0D53B8EB7CC4785457FDC4360DEB0" ma:contentTypeVersion="5" ma:contentTypeDescription="Crie um novo documento." ma:contentTypeScope="" ma:versionID="5889a210ffa40d5284db2d851a93908a">
  <xsd:schema xmlns:xsd="http://www.w3.org/2001/XMLSchema" xmlns:xs="http://www.w3.org/2001/XMLSchema" xmlns:p="http://schemas.microsoft.com/office/2006/metadata/properties" xmlns:ns3="9226b79f-9034-4ca2-ba82-d434f561f73e" targetNamespace="http://schemas.microsoft.com/office/2006/metadata/properties" ma:root="true" ma:fieldsID="4d374b3c81b173661378caaea96fee69" ns3:_="">
    <xsd:import namespace="9226b79f-9034-4ca2-ba82-d434f561f73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6b79f-9034-4ca2-ba82-d434f561f73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226b79f-9034-4ca2-ba82-d434f561f73e" xsi:nil="true"/>
  </documentManagement>
</p:properties>
</file>

<file path=customXml/itemProps1.xml><?xml version="1.0" encoding="utf-8"?>
<ds:datastoreItem xmlns:ds="http://schemas.openxmlformats.org/officeDocument/2006/customXml" ds:itemID="{D26DDE95-1726-472A-A080-7C49F73E0F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26b79f-9034-4ca2-ba82-d434f561f7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2523475-0388-4345-9D28-1A1C240524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419478E-45E5-4F43-8E4C-DE1000D4FD94}">
  <ds:schemaRefs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purl.org/dc/terms/"/>
    <ds:schemaRef ds:uri="http://schemas.microsoft.com/office/2006/metadata/properties"/>
    <ds:schemaRef ds:uri="9226b79f-9034-4ca2-ba82-d434f561f73e"/>
    <ds:schemaRef ds:uri="http://schemas.openxmlformats.org/package/2006/metadata/core-properties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Principal - Resumo</vt:lpstr>
      <vt:lpstr>Funcionários</vt:lpstr>
      <vt:lpstr>Orçamentos</vt:lpstr>
      <vt:lpstr>Internet - Serviços</vt:lpstr>
      <vt:lpstr>Sistemas - Apps - Sites</vt:lpstr>
      <vt:lpstr>Abertura empresa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cp:lastPrinted>2026-09-28T22:45:38Z</cp:lastPrinted>
  <dcterms:created xsi:type="dcterms:W3CDTF">2026-08-23T21:32:10Z</dcterms:created>
  <dcterms:modified xsi:type="dcterms:W3CDTF">2026-09-28T22:46:10Z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0x0101005EE0D53B8EB7CC4785457FDC4360DEB0</vt:lpwstr>
  </property>
</Properties>
</file>